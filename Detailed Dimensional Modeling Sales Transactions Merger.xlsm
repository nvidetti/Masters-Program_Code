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mc:AlternateContent xmlns:mc="http://schemas.openxmlformats.org/markup-compatibility/2006">
    <mc:Choice Requires="x15">
      <x15ac:absPath xmlns:x15ac="http://schemas.microsoft.com/office/spreadsheetml/2010/11/ac" url="C:\Users\nvidetti\Downloads\"/>
    </mc:Choice>
  </mc:AlternateContent>
  <xr:revisionPtr revIDLastSave="0" documentId="13_ncr:1_{E34091CB-6224-47BB-906A-8C67D1DE85CA}" xr6:coauthVersionLast="47" xr6:coauthVersionMax="47" xr10:uidLastSave="{00000000-0000-0000-0000-000000000000}"/>
  <bookViews>
    <workbookView xWindow="-28920" yWindow="-120" windowWidth="29040" windowHeight="15840" tabRatio="663" xr2:uid="{00000000-000D-0000-FFFF-FFFF00000000}"/>
  </bookViews>
  <sheets>
    <sheet name="Home" sheetId="155" r:id="rId1"/>
    <sheet name="ReadMe" sheetId="106" r:id="rId2"/>
    <sheet name="Change Log" sheetId="104" r:id="rId3"/>
    <sheet name="CustomersDim" sheetId="161" r:id="rId4"/>
    <sheet name="ProductsDim" sheetId="159" r:id="rId5"/>
    <sheet name="Blank Dimension" sheetId="153" state="hidden" r:id="rId6"/>
    <sheet name="Blank Fact" sheetId="154" state="hidden" r:id="rId7"/>
    <sheet name="SalesTransactionsFact" sheetId="160" r:id="rId8"/>
    <sheet name="Generated SQL" sheetId="182" r:id="rId9"/>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9" i="161" l="1"/>
  <c r="D20" i="159"/>
  <c r="D19" i="159"/>
  <c r="D25" i="161"/>
  <c r="D24" i="161"/>
  <c r="D22" i="161"/>
  <c r="D21" i="161"/>
  <c r="D19" i="161"/>
  <c r="D15" i="161"/>
  <c r="D15" i="159"/>
  <c r="P21" i="161"/>
  <c r="P18" i="161"/>
  <c r="D26" i="161"/>
  <c r="D16" i="161"/>
  <c r="D17" i="161"/>
  <c r="D18" i="161"/>
  <c r="D20" i="161"/>
  <c r="D21" i="159"/>
  <c r="D16" i="1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9CDF911-BF44-4AF5-9EE4-67CFE2ADCA77}">
      <text>
        <r>
          <rPr>
            <sz val="9"/>
            <color indexed="81"/>
            <rFont val="Tahoma"/>
            <family val="2"/>
          </rPr>
          <t>Physical table name (use brackets if necessary)</t>
        </r>
      </text>
    </comment>
    <comment ref="B3" authorId="0" shapeId="0" xr:uid="{47029A61-A2A4-4396-8F5F-3045B5B46FB5}">
      <text>
        <r>
          <rPr>
            <sz val="9"/>
            <color indexed="81"/>
            <rFont val="Tahoma"/>
            <family val="2"/>
          </rPr>
          <t>Display or business name of the table (if this does not match the worksheet name, the links in the diagram do not work)</t>
        </r>
      </text>
    </comment>
    <comment ref="B4" authorId="0" shapeId="0" xr:uid="{D87B4899-4BB4-4D67-9A32-31EB89A1557B}">
      <text>
        <r>
          <rPr>
            <sz val="9"/>
            <color indexed="81"/>
            <rFont val="Tahoma"/>
            <family val="2"/>
          </rPr>
          <t>Schema name for this table (you must create the schema first - leave blank for default schema, e.g. dbo)</t>
        </r>
      </text>
    </comment>
    <comment ref="B5" authorId="0" shapeId="0" xr:uid="{86BB7ED8-BA50-4B1B-AD34-C762C675F2BE}">
      <text>
        <r>
          <rPr>
            <sz val="9"/>
            <color indexed="81"/>
            <rFont val="Tahoma"/>
            <family val="2"/>
          </rPr>
          <t>Description of this table, oriented to the business user.</t>
        </r>
      </text>
    </comment>
    <comment ref="B6" authorId="0" shapeId="0" xr:uid="{4E492130-3B5C-49EA-89B3-470ED0A49C37}">
      <text>
        <r>
          <rPr>
            <sz val="9"/>
            <color indexed="81"/>
            <rFont val="Tahoma"/>
            <family val="2"/>
          </rPr>
          <t xml:space="preserve">We often use the Comment field to insert a technical comment.
</t>
        </r>
      </text>
    </comment>
    <comment ref="B7" authorId="0" shapeId="0" xr:uid="{EE693BA6-E0CF-4B8B-98C6-0CECDAA4EC72}">
      <text>
        <r>
          <rPr>
            <sz val="9"/>
            <color indexed="81"/>
            <rFont val="Tahoma"/>
            <family val="2"/>
          </rPr>
          <t xml:space="preserve">If there's an important filter condition for the extract from the source, note it here. </t>
        </r>
      </text>
    </comment>
    <comment ref="B8" authorId="0" shapeId="0" xr:uid="{E09BF31E-5E1A-4C04-9968-A4F94F75B9FC}">
      <text>
        <r>
          <rPr>
            <sz val="9"/>
            <color indexed="81"/>
            <rFont val="Tahoma"/>
            <family val="2"/>
          </rPr>
          <t xml:space="preserve">It's often helpful to note the approximate size of the table -- helps people understand the contents. </t>
        </r>
      </text>
    </comment>
    <comment ref="B9" authorId="0" shapeId="0" xr:uid="{FB42F4A1-AA42-4DAC-9A3D-EC3EC64C5A15}">
      <text>
        <r>
          <rPr>
            <sz val="9"/>
            <color indexed="81"/>
            <rFont val="Tahoma"/>
            <family val="2"/>
          </rPr>
          <t>This indicator drives whether the macro will generate the script for this table.</t>
        </r>
      </text>
    </comment>
    <comment ref="J11" authorId="0" shapeId="0" xr:uid="{A6B81E5E-CEDB-4407-B2F2-F44311FFEFC0}">
      <text>
        <r>
          <rPr>
            <sz val="9"/>
            <color indexed="81"/>
            <rFont val="Tahoma"/>
            <family val="2"/>
          </rPr>
          <t>These columns drive the generate SQL macro. We usually hide them during the modeling sessions, filling them in later.</t>
        </r>
      </text>
    </comment>
    <comment ref="Q11" authorId="0" shapeId="0" xr:uid="{5FCB1518-D01A-4D25-B53A-DF72532C8D24}">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BD4C74B8-D3A5-4355-A033-48AC749C347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56AAD21-721A-4F6F-A0E3-71D4ED476D11}">
      <text>
        <r>
          <rPr>
            <sz val="9"/>
            <color indexed="81"/>
            <rFont val="Tahoma"/>
            <family val="2"/>
          </rPr>
          <t>Column physical name in the table definition. We recommend that physical and logical names be the same.</t>
        </r>
      </text>
    </comment>
    <comment ref="B12" authorId="0" shapeId="0" xr:uid="{736CBCEC-3134-4E63-8189-4D502474BD87}">
      <text>
        <r>
          <rPr>
            <sz val="9"/>
            <color indexed="81"/>
            <rFont val="Tahoma"/>
            <family val="2"/>
          </rPr>
          <t>Column logical or view name presented to the users. We recommend that physical and logical names be the same.</t>
        </r>
      </text>
    </comment>
    <comment ref="C12" authorId="0" shapeId="0" xr:uid="{A30A407C-01B0-4CC6-A749-F2E55E262F94}">
      <text>
        <r>
          <rPr>
            <sz val="9"/>
            <color indexed="81"/>
            <rFont val="Tahoma"/>
            <family val="2"/>
          </rPr>
          <t xml:space="preserve">Description for the business users. Your dimensional design is not complete until this is filled in for absolutely all columns.
</t>
        </r>
      </text>
    </comment>
    <comment ref="D12" authorId="0" shapeId="0" xr:uid="{772DACA6-C5BC-495F-861B-196703F58085}">
      <text>
        <r>
          <rPr>
            <sz val="9"/>
            <color indexed="81"/>
            <rFont val="Tahoma"/>
            <family val="2"/>
          </rPr>
          <t xml:space="preserve">Used to populate the "Unknown member" row (surrogate key = -1) in the table.
</t>
        </r>
      </text>
    </comment>
    <comment ref="E12" authorId="0" shapeId="0" xr:uid="{98284C71-A942-471F-9B1A-146317037BC0}">
      <text>
        <r>
          <rPr>
            <sz val="9"/>
            <color indexed="81"/>
            <rFont val="Tahoma"/>
            <family val="2"/>
          </rPr>
          <t>Example values can be as valuable as the description to convey the contents of the column.</t>
        </r>
      </text>
    </comment>
    <comment ref="F12" authorId="0" shapeId="0" xr:uid="{8BD6F5A0-986B-480B-855F-ECFBEF6C38D3}">
      <text>
        <r>
          <rPr>
            <sz val="9"/>
            <color indexed="81"/>
            <rFont val="Tahoma"/>
            <family val="2"/>
          </rPr>
          <t>1=Restate History
2=Track History
documentation only</t>
        </r>
      </text>
    </comment>
    <comment ref="G12" authorId="0" shapeId="0" xr:uid="{0A7CB6C5-4B41-40DF-9E29-8236647577D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50DF74C-2052-4876-8654-677C096501CC}">
      <text>
        <r>
          <rPr>
            <sz val="9"/>
            <color indexed="81"/>
            <rFont val="Tahoma"/>
            <family val="2"/>
          </rPr>
          <t>During the modeling process, capture any important discussion about ETL rules or xforms.</t>
        </r>
      </text>
    </comment>
    <comment ref="I12" authorId="0" shapeId="0" xr:uid="{25F22301-FC41-46CD-9BA4-33CC8128A3B3}">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5112455-F252-4134-A1AB-CAEBFA3AA305}">
      <text>
        <r>
          <rPr>
            <sz val="9"/>
            <color indexed="81"/>
            <rFont val="Tahoma"/>
            <family val="2"/>
          </rPr>
          <t>Physical table name (use brackets if necessary)</t>
        </r>
      </text>
    </comment>
    <comment ref="B3" authorId="0" shapeId="0" xr:uid="{584841A3-4813-4AD2-8004-EAEF715B58B2}">
      <text>
        <r>
          <rPr>
            <sz val="9"/>
            <color indexed="81"/>
            <rFont val="Tahoma"/>
            <family val="2"/>
          </rPr>
          <t>Display or business name of the table (if this does not match the worksheet name, the links in the diagram do not work)</t>
        </r>
      </text>
    </comment>
    <comment ref="B4" authorId="0" shapeId="0" xr:uid="{470C413F-AC90-4CA7-9E7A-00146897CC41}">
      <text>
        <r>
          <rPr>
            <sz val="9"/>
            <color indexed="81"/>
            <rFont val="Tahoma"/>
            <family val="2"/>
          </rPr>
          <t>Schema name for this table (you must create the schema first - leave blank for default schema, e.g. dbo)</t>
        </r>
      </text>
    </comment>
    <comment ref="B5" authorId="0" shapeId="0" xr:uid="{3E4D9CF5-FF7F-4B87-9530-15176C750B13}">
      <text>
        <r>
          <rPr>
            <sz val="9"/>
            <color indexed="81"/>
            <rFont val="Tahoma"/>
            <family val="2"/>
          </rPr>
          <t>Description of this table, oriented to the business user.</t>
        </r>
      </text>
    </comment>
    <comment ref="B6" authorId="0" shapeId="0" xr:uid="{BEB8292D-B137-41F2-960A-A6BFABA92717}">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59660299-AB2F-4477-A776-1BFB6A704144}">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BC161C3-1A17-4A6A-B396-6CBD52CC9C3F}">
      <text>
        <r>
          <rPr>
            <sz val="9"/>
            <color indexed="81"/>
            <rFont val="Tahoma"/>
            <family val="2"/>
          </rPr>
          <t>Physical table name (use brackets if necessary)</t>
        </r>
      </text>
    </comment>
    <comment ref="B3" authorId="0" shapeId="0" xr:uid="{AE0CE07C-35AE-4C52-8946-2E577F0DDB8C}">
      <text>
        <r>
          <rPr>
            <sz val="9"/>
            <color indexed="81"/>
            <rFont val="Tahoma"/>
            <family val="2"/>
          </rPr>
          <t>Display or business name of the table (if this does not match the worksheet name, the links in the diagram do not work)</t>
        </r>
      </text>
    </comment>
    <comment ref="B4" authorId="0" shapeId="0" xr:uid="{2BE988CE-E5F2-440F-BFDE-51E2058B36C1}">
      <text>
        <r>
          <rPr>
            <sz val="9"/>
            <color indexed="81"/>
            <rFont val="Tahoma"/>
            <family val="2"/>
          </rPr>
          <t>Schema name for this table (you must create the schema first - leave blank for default schema, e.g. dbo)</t>
        </r>
      </text>
    </comment>
    <comment ref="B5" authorId="0" shapeId="0" xr:uid="{27B60029-A314-473A-8FCA-F206872A30F2}">
      <text>
        <r>
          <rPr>
            <sz val="9"/>
            <color indexed="81"/>
            <rFont val="Tahoma"/>
            <family val="2"/>
          </rPr>
          <t>Description of this table, oriented to the business user.</t>
        </r>
      </text>
    </comment>
    <comment ref="B6" authorId="0" shapeId="0" xr:uid="{D6FAB1D4-7AF1-4FB5-9113-D45DE3AD39F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9A90EFD6-066B-4E29-ACAE-88628F5B1333}">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<sst xmlns="http://schemas.openxmlformats.org/spreadsheetml/2006/main" count="1104" uniqueCount="563">
  <si>
    <t>Adapted from The Microsoft Data Warehouse Toolkit 2008 R2</t>
  </si>
  <si>
    <t>Dimensional Modeling Workbook</t>
  </si>
  <si>
    <t>Date:</t>
  </si>
  <si>
    <t>Database:</t>
  </si>
  <si>
    <t>ist722_hhkhan_oa3_dw</t>
  </si>
  <si>
    <t>Description:</t>
  </si>
  <si>
    <t>Datawarehouse Merger from 2 Sources</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</si>
  <si>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</si>
  <si>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</si>
  <si>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</si>
  <si>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</si>
  <si>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</si>
  <si>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</si>
  <si>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</si>
  <si>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</si>
  <si>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</si>
  <si>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</si>
  <si>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</si>
  <si>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</si>
  <si>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</si>
  <si>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</si>
  <si>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</si>
  <si>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</si>
  <si>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</si>
  <si>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</si>
  <si>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</si>
  <si>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</si>
  <si>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</si>
  <si>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</si>
  <si>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</si>
  <si>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</si>
  <si>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</si>
  <si>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</si>
  <si>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</si>
  <si>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</si>
  <si>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</si>
  <si>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</si>
  <si>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</si>
  <si>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</si>
  <si>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</si>
  <si>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</si>
  <si>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</si>
  <si>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</si>
  <si>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CustomersDim</t>
  </si>
  <si>
    <t>Table Type</t>
  </si>
  <si>
    <t>Dimension</t>
  </si>
  <si>
    <t>Display Name</t>
  </si>
  <si>
    <t>Database Schema</t>
  </si>
  <si>
    <t>Table Description</t>
  </si>
  <si>
    <t>Fudgemart Customers and Fudgeflix Accounts</t>
  </si>
  <si>
    <t>Comment</t>
  </si>
  <si>
    <t>Biz Filter Logic</t>
  </si>
  <si>
    <t>Size</t>
  </si>
  <si>
    <t>one row per customer</t>
  </si>
  <si>
    <t>Generate Script?</t>
  </si>
  <si>
    <t>Target</t>
  </si>
  <si>
    <t>Source1</t>
  </si>
  <si>
    <t>Source2</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</si>
  <si>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</si>
  <si>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</si>
  <si>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</si>
  <si>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</si>
  <si>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</si>
  <si>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</si>
  <si>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</si>
  <si>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</si>
  <si>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</si>
  <si>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</si>
  <si>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</si>
  <si>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</si>
  <si>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</si>
  <si>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</si>
  <si>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</si>
  <si>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</si>
  <si>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</si>
  <si>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</si>
  <si>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CustomersDimID</t>
  </si>
  <si>
    <t>Surrogate Primary Key</t>
  </si>
  <si>
    <t>key</t>
  </si>
  <si>
    <t>INT</t>
  </si>
  <si>
    <t>PK ID</t>
  </si>
  <si>
    <t>N</t>
  </si>
  <si>
    <t>CustomerID</t>
  </si>
  <si>
    <t>Business Key</t>
  </si>
  <si>
    <t>fudgemart_v3</t>
  </si>
  <si>
    <t>dbo</t>
  </si>
  <si>
    <t>fm_customers</t>
  </si>
  <si>
    <t>customer_id</t>
  </si>
  <si>
    <t>fudgeflix_v3</t>
  </si>
  <si>
    <t>ff_accounts</t>
  </si>
  <si>
    <t>account_id</t>
  </si>
  <si>
    <t>CompanyDivision</t>
  </si>
  <si>
    <t>FMT for Fudgemart / FFT for Fudgeflix</t>
  </si>
  <si>
    <t>NVARCHAR</t>
  </si>
  <si>
    <t>CustomerEmail</t>
  </si>
  <si>
    <t>Customer Email</t>
  </si>
  <si>
    <t>VARCHAR</t>
  </si>
  <si>
    <t>customer_email</t>
  </si>
  <si>
    <t>VARCHAR(100)</t>
  </si>
  <si>
    <t>account_email</t>
  </si>
  <si>
    <t>VARCHAR(200)</t>
  </si>
  <si>
    <t>CustomerName</t>
  </si>
  <si>
    <t>Customer First Name and Last Name</t>
  </si>
  <si>
    <t>FirstName + ' ' + LastName</t>
  </si>
  <si>
    <t>CustomerAddress</t>
  </si>
  <si>
    <t>Customer Address</t>
  </si>
  <si>
    <t>customer_address</t>
  </si>
  <si>
    <t>VARCHAR(255)</t>
  </si>
  <si>
    <t>account_address</t>
  </si>
  <si>
    <t>VARCHAR(1000)</t>
  </si>
  <si>
    <t>CustomerZipCode</t>
  </si>
  <si>
    <t>Customer Zip Code</t>
  </si>
  <si>
    <t>customer_zip</t>
  </si>
  <si>
    <t>VARCHAR(20)</t>
  </si>
  <si>
    <t>account_zipcode</t>
  </si>
  <si>
    <t>VARCHAR(5)</t>
  </si>
  <si>
    <t>CustomerCity</t>
  </si>
  <si>
    <t>Customer City</t>
  </si>
  <si>
    <t>customer_city</t>
  </si>
  <si>
    <t>VARCHAR(50)</t>
  </si>
  <si>
    <t>ff_zipcodes</t>
  </si>
  <si>
    <t>zip_city</t>
  </si>
  <si>
    <t>CustomerState</t>
  </si>
  <si>
    <t>Customer State</t>
  </si>
  <si>
    <t>customer_state</t>
  </si>
  <si>
    <t>CHAR(2)</t>
  </si>
  <si>
    <t>zip_state</t>
  </si>
  <si>
    <t>CustomerCityState</t>
  </si>
  <si>
    <t>Customer City and State</t>
  </si>
  <si>
    <t>City + ', ' + State</t>
  </si>
  <si>
    <t>RowIsCurrent</t>
  </si>
  <si>
    <t>Row Is Current</t>
  </si>
  <si>
    <t>Is this the current row for this member (Y/N)?</t>
  </si>
  <si>
    <t>Standard SCD-2</t>
  </si>
  <si>
    <t>BIT</t>
  </si>
  <si>
    <t>RowStartDate</t>
  </si>
  <si>
    <t>Row Start Date</t>
  </si>
  <si>
    <t>When did this row become valid for this member?</t>
  </si>
  <si>
    <t>DATE</t>
  </si>
  <si>
    <t>'1/1/1970'</t>
  </si>
  <si>
    <t>RowEndDate</t>
  </si>
  <si>
    <t>Row End Date</t>
  </si>
  <si>
    <t>When did this row become invalid? (12/31/9999 if current row)</t>
  </si>
  <si>
    <t>'12/31/9999'</t>
  </si>
  <si>
    <t>RowChangeReason</t>
  </si>
  <si>
    <t>Row Change Reason</t>
  </si>
  <si>
    <t>Why did the row change last?</t>
  </si>
  <si>
    <t>ProductsDim</t>
  </si>
  <si>
    <t>Fudgemart Products and Fudgeflix Plans</t>
  </si>
  <si>
    <t>one row per product</t>
  </si>
  <si>
    <t>ProductsDimID</t>
  </si>
  <si>
    <t>ProductID</t>
  </si>
  <si>
    <t>fm_products</t>
  </si>
  <si>
    <t>product_id</t>
  </si>
  <si>
    <t>ff_plans</t>
  </si>
  <si>
    <t>plan_id</t>
  </si>
  <si>
    <t>ProductName</t>
  </si>
  <si>
    <t>Product Name</t>
  </si>
  <si>
    <t>product_name</t>
  </si>
  <si>
    <t>plan_name</t>
  </si>
  <si>
    <t>ProductActiveStatus</t>
  </si>
  <si>
    <t>1 if product is active, 0 if product is inactive</t>
  </si>
  <si>
    <t>product_is_active</t>
  </si>
  <si>
    <t>plan_current</t>
  </si>
  <si>
    <t>BlankDimension</t>
  </si>
  <si>
    <t>Blank</t>
  </si>
  <si>
    <t>Always create a table description, which becomes a table extended property.</t>
  </si>
  <si>
    <t>You can put technical information here -- it doesn't get copied into the database in any way.</t>
  </si>
  <si>
    <t>Source</t>
  </si>
  <si>
    <t>BlankDimKey</t>
  </si>
  <si>
    <t>Blank Dim Key</t>
  </si>
  <si>
    <t>Surrogate primary key</t>
  </si>
  <si>
    <t>1, 2, 3…</t>
  </si>
  <si>
    <t>int</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</si>
  <si>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</si>
  <si>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</si>
  <si>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</si>
  <si>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</si>
  <si>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</si>
  <si>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</si>
  <si>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</si>
  <si>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</si>
  <si>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</si>
  <si>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</si>
  <si>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</si>
  <si>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</si>
  <si>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Y, N</t>
  </si>
  <si>
    <t>n/a</t>
  </si>
  <si>
    <t>Exclude from cube</t>
  </si>
  <si>
    <t>nchar</t>
  </si>
  <si>
    <t>datetime</t>
  </si>
  <si>
    <t>1/14/1998, 12/31/9999</t>
  </si>
  <si>
    <t>N/A</t>
  </si>
  <si>
    <t>InsertAuditKey</t>
  </si>
  <si>
    <t>What process loaded this row?</t>
  </si>
  <si>
    <t>Standard Audit dim</t>
  </si>
  <si>
    <t>FK</t>
  </si>
  <si>
    <t>DimAudit.AuditKey</t>
  </si>
  <si>
    <t>UpdateAuditKey</t>
  </si>
  <si>
    <t>What process most recently updated this row?</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</si>
  <si>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</si>
  <si>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</si>
  <si>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</si>
  <si>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</si>
  <si>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</si>
  <si>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</si>
  <si>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</si>
  <si>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</si>
  <si>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</si>
  <si>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</si>
  <si>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</si>
  <si>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</si>
  <si>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</si>
  <si>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</si>
  <si>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</si>
  <si>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</si>
  <si>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</si>
  <si>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</si>
  <si>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</si>
  <si>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</si>
  <si>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</si>
  <si>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</si>
  <si>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</si>
  <si>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</si>
  <si>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</si>
  <si>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</si>
  <si>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</si>
  <si>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</si>
  <si>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</si>
  <si>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</si>
  <si>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</si>
  <si>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</si>
  <si>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</si>
  <si>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</si>
  <si>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</si>
  <si>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</si>
  <si>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SalesTransactionsFact</t>
  </si>
  <si>
    <t>Sales Transactions of Fudgemart and Fudgeflix</t>
  </si>
  <si>
    <t>one row per sales transaction</t>
  </si>
  <si>
    <t>FK to CustomersDim</t>
  </si>
  <si>
    <t>CustomersDim.CustomersDimID</t>
  </si>
  <si>
    <t>FK to ProductsDim</t>
  </si>
  <si>
    <t>ProductsDim.ProductsDimID</t>
  </si>
  <si>
    <t>Quantity</t>
  </si>
  <si>
    <t>quantity ordered for Fudgemart / 1 for Fidgeflix</t>
  </si>
  <si>
    <t>fm_order_details</t>
  </si>
  <si>
    <t>order_qty</t>
  </si>
  <si>
    <t>PricePerUnit</t>
  </si>
  <si>
    <t>Price per Unit</t>
  </si>
  <si>
    <t>DECIMAL</t>
  </si>
  <si>
    <t>product_retail_price</t>
  </si>
  <si>
    <t>MONEY</t>
  </si>
  <si>
    <t>ff_account_billing</t>
  </si>
  <si>
    <t>ab_billed_amount</t>
  </si>
  <si>
    <t>Revenue</t>
  </si>
  <si>
    <t>Quantity * Price</t>
  </si>
  <si>
    <t>OrderID</t>
  </si>
  <si>
    <t>order_id for Fudgemart / ab_id for Fudgeflix</t>
  </si>
  <si>
    <t>fm_orders</t>
  </si>
  <si>
    <t>order_id</t>
  </si>
  <si>
    <t>ab_id</t>
  </si>
  <si>
    <t>ProfitPerUnit</t>
  </si>
  <si>
    <t>Profit per Unit</t>
  </si>
  <si>
    <t>Retail price - Wholesale Price for Fudgemart
Billed Amount * 0.8 for Fudgeflix</t>
  </si>
  <si>
    <t>Profit</t>
  </si>
  <si>
    <t>Profit per Unit * Quantity</t>
  </si>
  <si>
    <t>SalesDateKey</t>
  </si>
  <si>
    <t>Date of sales transaction
order_date for Fudgemart / ab_date for Fudgeflix</t>
  </si>
  <si>
    <t>DimDate.DateKey</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</si>
  <si>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</si>
  <si>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</si>
  <si>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</si>
  <si>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</si>
  <si>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</si>
  <si>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</si>
  <si>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</si>
  <si>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</si>
  <si>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</si>
  <si>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</si>
  <si>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</si>
  <si>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ist722_hhkhan_oa3_dw</t>
  </si>
  <si>
    <t>GO</t>
  </si>
  <si>
    <t>CREATE DATABASE ist722_hhkhan_oa3_dw</t>
  </si>
  <si>
    <t>ALTER DATABASE ist722_hhkhan_oa3_dw</t>
  </si>
  <si>
    <t>SET RECOVERY SIMPLE</t>
  </si>
  <si>
    <t>USE ist722_hhkhan_oa3_dw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</si>
  <si>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</si>
  <si>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</si>
  <si>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</si>
  <si>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</si>
  <si>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dbo.CustomersDim */</t>
  </si>
  <si>
    <t>IF EXISTS (SELECT * FROM dbo.sysobjects WHERE id = OBJECT_ID(N'dbo.CustomersDim') AND OBJECTPROPERTY(id, N'IsUserTable') = 1)</t>
  </si>
  <si>
    <t xml:space="preserve">DROP TABLE dbo.CustomersDim </t>
  </si>
  <si>
    <t>/* Create table dbo.CustomersDim */</t>
  </si>
  <si>
    <t>CREATE TABLE dbo.CustomersDim (</t>
  </si>
  <si>
    <t xml:space="preserve">   [CustomersDimID]  INT IDENTITY  NOT NULL</t>
  </si>
  <si>
    <t>,  [CustomerID]  INT   NOT NULL</t>
  </si>
  <si>
    <t>,  [CompanyDivision]  NVARCHAR(3)   NOT NULL</t>
  </si>
  <si>
    <t>,  [CustomerEmail]  VARCHAR(200)   NOT NULL</t>
  </si>
  <si>
    <t>,  [CustomerName]  NVARCHAR(101)   NOT NULL</t>
  </si>
  <si>
    <t>,  [CustomerAddress]  VARCHAR(1000)  DEFAULT 'N/A' NULL</t>
  </si>
  <si>
    <t>,  [CustomerCity]  VARCHAR(50)   NOT NULL</t>
  </si>
  <si>
    <t>,  [CustomerState]  VARCHAR(2)  DEFAULT '--' NULL</t>
  </si>
  <si>
    <t>,  [CustomerCityState]  NVARCHAR(53)   NOT NULL</t>
  </si>
  <si>
    <t>,  [RowIsCurrent]  BIT   NOT NULL</t>
  </si>
  <si>
    <t>,  [RowStartDate]  DATE  DEFAULT '1/1/1970' NOT NULL</t>
  </si>
  <si>
    <t>,  [RowEndDate]  DATE  DEFAULT '12/31/9999' NOT NULL</t>
  </si>
  <si>
    <t>,  [RowChangeReason]  NVARCHAR(50)   NULL</t>
  </si>
  <si>
    <t xml:space="preserve">, CONSTRAINT [PK_dbo.CustomersDim] PRIMARY KEY CLUSTERED </t>
  </si>
  <si>
    <t>( [CustomersDimID] )</t>
  </si>
  <si>
    <t>) ON [PRIMARY]</t>
  </si>
  <si>
    <t>--Table extended properties...</t>
  </si>
  <si>
    <t>exec sys.sp_addextendedproperty @name=N'Table Type', @value=N'Dimension', @level0type=N'SCHEMA', @level0name=dbo, @level1type=N'TABLE', @level1name=CustomersDim</t>
  </si>
  <si>
    <t>exec sys.sp_addextendedproperty @name=N'Display Name', @value=N'CustomersDim', @level0type=N'SCHEMA', @level0name=dbo, @level1type=N'TABLE', @level1name=CustomersDim</t>
  </si>
  <si>
    <t>exec sys.sp_addextendedproperty @name=N'Table Description', @value=N'Fudgemart Customers and Fudgeflix Accounts', @level0type=N'SCHEMA', @level0name=dbo, @level1type=N'TABLE', @level1name=CustomersDim</t>
  </si>
  <si>
    <t>SET IDENTITY_INSERT dbo.CustomersDim ON</t>
  </si>
  <si>
    <t>INSERT INTO dbo.CustomersDim (CustomersDimID, CustomerID, CompanyDivision, CustomerEmail, CustomerName, CustomerAddress, CustomerZipCode, CustomerCity, CustomerState, CustomerCityState, RowIsCurrent, RowStartDate, RowEndDate, RowChangeReason)</t>
  </si>
  <si>
    <t>VALUES (-1, -1, '---', 'Missing Data', 'Missing Data', 'Missing Data', '-----', 'Missing Data', '--', 'Missing Data', 1, '1/1/1970', '12/31/9999', 'Missing Data')</t>
  </si>
  <si>
    <t>SET IDENTITY_INSERT dbo.CustomersDim OFF</t>
  </si>
  <si>
    <t>--Column extended properties</t>
  </si>
  <si>
    <t xml:space="preserve">exec sys.sp_addextendedproperty @name=N'Display Name', @value=N'CustomersDimID', @level0type=N'SCHEMA', @level0name=N'dbo', @level1type=N'TABLE', @level1name=N'CustomersDim', @level2type=N'COLUMN', @level2name=N'CustomersDimID'; </t>
  </si>
  <si>
    <t xml:space="preserve">exec sys.sp_addextendedproperty @name=N'Display Name', @value=N'CustomerID', @level0type=N'SCHEMA', @level0name=N'dbo', @level1type=N'TABLE', @level1name=N'CustomersDim', @level2type=N'COLUMN', @level2name=N'CustomerID'; </t>
  </si>
  <si>
    <t xml:space="preserve">exec sys.sp_addextendedproperty @name=N'Display Name', @value=N'CompanyDivision', @level0type=N'SCHEMA', @level0name=N'dbo', @level1type=N'TABLE', @level1name=N'CustomersDim', @level2type=N'COLUMN', @level2name=N'CompanyDivision'; </t>
  </si>
  <si>
    <t xml:space="preserve">exec sys.sp_addextendedproperty @name=N'Display Name', @value=N'CustomerEmail', @level0type=N'SCHEMA', @level0name=N'dbo', @level1type=N'TABLE', @level1name=N'CustomersDim', @level2type=N'COLUMN', @level2name=N'CustomerEmail'; </t>
  </si>
  <si>
    <t xml:space="preserve">exec sys.sp_addextendedproperty @name=N'Display Name', @value=N'CustomerName', @level0type=N'SCHEMA', @level0name=N'dbo', @level1type=N'TABLE', @level1name=N'CustomersDim', @level2type=N'COLUMN', @level2name=N'CustomerName'; </t>
  </si>
  <si>
    <t xml:space="preserve">exec sys.sp_addextendedproperty @name=N'Display Name', @value=N'CustomerAddress', @level0type=N'SCHEMA', @level0name=N'dbo', @level1type=N'TABLE', @level1name=N'CustomersDim', @level2type=N'COLUMN', @level2name=N'CustomerAddress'; </t>
  </si>
  <si>
    <t xml:space="preserve">exec sys.sp_addextendedproperty @name=N'Display Name', @value=N'CustomerZipCode', @level0type=N'SCHEMA', @level0name=N'dbo', @level1type=N'TABLE', @level1name=N'CustomersDim', @level2type=N'COLUMN', @level2name=N'CustomerZipCode'; </t>
  </si>
  <si>
    <t xml:space="preserve">exec sys.sp_addextendedproperty @name=N'Display Name', @value=N'CustomerCity', @level0type=N'SCHEMA', @level0name=N'dbo', @level1type=N'TABLE', @level1name=N'CustomersDim', @level2type=N'COLUMN', @level2name=N'CustomerCity'; </t>
  </si>
  <si>
    <t xml:space="preserve">exec sys.sp_addextendedproperty @name=N'Display Name', @value=N'CustomerState', @level0type=N'SCHEMA', @level0name=N'dbo', @level1type=N'TABLE', @level1name=N'CustomersDim', @level2type=N'COLUMN', @level2name=N'CustomerState'; </t>
  </si>
  <si>
    <t xml:space="preserve">exec sys.sp_addextendedproperty @name=N'Display Name', @value=N'CustomerCityState', @level0type=N'SCHEMA', @level0name=N'dbo', @level1type=N'TABLE', @level1name=N'CustomersDim', @level2type=N'COLUMN', @level2name=N'CustomerCityState'; </t>
  </si>
  <si>
    <t xml:space="preserve">exec sys.sp_addextendedproperty @name=N'Display Name', @value=N'Row Is Current', @level0type=N'SCHEMA', @level0name=N'dbo', @level1type=N'TABLE', @level1name=N'CustomersDim', @level2type=N'COLUMN', @level2name=N'RowIsCurrent'; </t>
  </si>
  <si>
    <t xml:space="preserve">exec sys.sp_addextendedproperty @name=N'Display Name', @value=N'Row Start Date', @level0type=N'SCHEMA', @level0name=N'dbo', @level1type=N'TABLE', @level1name=N'CustomersDim', @level2type=N'COLUMN', @level2name=N'RowStartDate'; </t>
  </si>
  <si>
    <t xml:space="preserve">exec sys.sp_addextendedproperty @name=N'Display Name', @value=N'Row End Date', @level0type=N'SCHEMA', @level0name=N'dbo', @level1type=N'TABLE', @level1name=N'CustomersDim', @level2type=N'COLUMN', @level2name=N'RowEndDate'; </t>
  </si>
  <si>
    <t xml:space="preserve">exec sys.sp_addextendedproperty @name=N'Display Name', @value=N'Row Change Reason', @level0type=N'SCHEMA', @level0name=N'dbo', @level1type=N'TABLE', @level1name=N'CustomersDim', @level2type=N'COLUMN', @level2name=N'RowChangeReason'; </t>
  </si>
  <si>
    <t xml:space="preserve">exec sys.sp_addextendedproperty @name=N'Description', @value=N'Surrogate Primary Key', @level0type=N'SCHEMA', @level0name=N'dbo', @level1type=N'TABLE', @level1name=N'CustomersDim', @level2type=N'COLUMN', @level2name=N'CustomersDimID'; </t>
  </si>
  <si>
    <t xml:space="preserve">exec sys.sp_addextendedproperty @name=N'Description', @value=N'Business Key', @level0type=N'SCHEMA', @level0name=N'dbo', @level1type=N'TABLE', @level1name=N'CustomersDim', @level2type=N'COLUMN', @level2name=N'CustomerID'; </t>
  </si>
  <si>
    <t xml:space="preserve">exec sys.sp_addextendedproperty @name=N'Description', @value=N'FMT for Fudgemart / FFT for Fudgeflix', @level0type=N'SCHEMA', @level0name=N'dbo', @level1type=N'TABLE', @level1name=N'CustomersDim', @level2type=N'COLUMN', @level2name=N'CompanyDivision'; </t>
  </si>
  <si>
    <t xml:space="preserve">exec sys.sp_addextendedproperty @name=N'Description', @value=N'Customer Email', @level0type=N'SCHEMA', @level0name=N'dbo', @level1type=N'TABLE', @level1name=N'CustomersDim', @level2type=N'COLUMN', @level2name=N'CustomerEmail'; </t>
  </si>
  <si>
    <t xml:space="preserve">exec sys.sp_addextendedproperty @name=N'Description', @value=N'Customer First Name and Last Name', @level0type=N'SCHEMA', @level0name=N'dbo', @level1type=N'TABLE', @level1name=N'CustomersDim', @level2type=N'COLUMN', @level2name=N'CustomerName'; </t>
  </si>
  <si>
    <t xml:space="preserve">exec sys.sp_addextendedproperty @name=N'Description', @value=N'Customer Address', @level0type=N'SCHEMA', @level0name=N'dbo', @level1type=N'TABLE', @level1name=N'CustomersDim', @level2type=N'COLUMN', @level2name=N'CustomerAddress'; </t>
  </si>
  <si>
    <t xml:space="preserve">exec sys.sp_addextendedproperty @name=N'Description', @value=N'Customer Zip Code', @level0type=N'SCHEMA', @level0name=N'dbo', @level1type=N'TABLE', @level1name=N'CustomersDim', @level2type=N'COLUMN', @level2name=N'CustomerZipCode'; </t>
  </si>
  <si>
    <t xml:space="preserve">exec sys.sp_addextendedproperty @name=N'Description', @value=N'Customer City', @level0type=N'SCHEMA', @level0name=N'dbo', @level1type=N'TABLE', @level1name=N'CustomersDim', @level2type=N'COLUMN', @level2name=N'CustomerCity'; </t>
  </si>
  <si>
    <t xml:space="preserve">exec sys.sp_addextendedproperty @name=N'Description', @value=N'Customer State', @level0type=N'SCHEMA', @level0name=N'dbo', @level1type=N'TABLE', @level1name=N'CustomersDim', @level2type=N'COLUMN', @level2name=N'CustomerState'; </t>
  </si>
  <si>
    <t xml:space="preserve">exec sys.sp_addextendedproperty @name=N'Description', @value=N'Customer City and State', @level0type=N'SCHEMA', @level0name=N'dbo', @level1type=N'TABLE', @level1name=N'CustomersDim', @level2type=N'COLUMN', @level2name=N'CustomerCityState'; </t>
  </si>
  <si>
    <t xml:space="preserve">exec sys.sp_addextendedproperty @name=N'Description', @value=N'Is this the current row for this member (Y/N)?', @level0type=N'SCHEMA', @level0name=N'dbo', @level1type=N'TABLE', @level1name=N'CustomersDim', @level2type=N'COLUMN', @level2name=N'RowIsCurrent'; </t>
  </si>
  <si>
    <t xml:space="preserve">exec sys.sp_addextendedproperty @name=N'Description', @value=N'When did this row become valid for this member?', @level0type=N'SCHEMA', @level0name=N'dbo', @level1type=N'TABLE', @level1name=N'CustomersDim', @level2type=N'COLUMN', @level2name=N'RowStartDate'; </t>
  </si>
  <si>
    <t xml:space="preserve">exec sys.sp_addextendedproperty @name=N'Description', @value=N'When did this row become invalid? (12/31/9999 if current row)', @level0type=N'SCHEMA', @level0name=N'dbo', @level1type=N'TABLE', @level1name=N'CustomersDim', @level2type=N'COLUMN', @level2name=N'RowEndDate'; </t>
  </si>
  <si>
    <t xml:space="preserve">exec sys.sp_addextendedproperty @name=N'Description', @value=N'Why did the row change last?', @level0type=N'SCHEMA', @level0name=N'dbo', @level1type=N'TABLE', @level1name=N'CustomersDim', @level2type=N'COLUMN', @level2name=N'RowChangeReason'; </t>
  </si>
  <si>
    <t xml:space="preserve">exec sys.sp_addextendedproperty @name=N'SCD  Type', @value=N'key', @level0type=N'SCHEMA', @level0name=N'dbo', @level1type=N'TABLE', @level1name=N'CustomersDim', @level2type=N'COLUMN', @level2name=N'CustomersDimID'; </t>
  </si>
  <si>
    <t xml:space="preserve">exec sys.sp_addextendedproperty @name=N'SCD  Type', @value=N'key', @level0type=N'SCHEMA', @level0name=N'dbo', @level1type=N'TABLE', @level1name=N'CustomersDim', @level2type=N'COLUMN', @level2name=N'CustomerID'; </t>
  </si>
  <si>
    <t xml:space="preserve">exec sys.sp_addextendedproperty @name=N'SCD  Type', @value=N'key', @level0type=N'SCHEMA', @level0name=N'dbo', @level1type=N'TABLE', @level1name=N'CustomersDim', @level2type=N'COLUMN', @level2name=N'CompanyDivision'; </t>
  </si>
  <si>
    <t xml:space="preserve">exec sys.sp_addextendedproperty @name=N'SCD  Type', @value=N'2', @level0type=N'SCHEMA', @level0name=N'dbo', @level1type=N'TABLE', @level1name=N'CustomersDim', @level2type=N'COLUMN', @level2name=N'CustomerEmail'; </t>
  </si>
  <si>
    <t xml:space="preserve">exec sys.sp_addextendedproperty @name=N'SCD  Type', @value=N'2', @level0type=N'SCHEMA', @level0name=N'dbo', @level1type=N'TABLE', @level1name=N'CustomersDim', @level2type=N'COLUMN', @level2name=N'CustomerName'; </t>
  </si>
  <si>
    <t xml:space="preserve">exec sys.sp_addextendedproperty @name=N'SCD  Type', @value=N'2', @level0type=N'SCHEMA', @level0name=N'dbo', @level1type=N'TABLE', @level1name=N'CustomersDim', @level2type=N'COLUMN', @level2name=N'CustomerAddress'; </t>
  </si>
  <si>
    <t xml:space="preserve">exec sys.sp_addextendedproperty @name=N'SCD  Type', @value=N'2', @level0type=N'SCHEMA', @level0name=N'dbo', @level1type=N'TABLE', @level1name=N'CustomersDim', @level2type=N'COLUMN', @level2name=N'CustomerZipCode'; </t>
  </si>
  <si>
    <t xml:space="preserve">exec sys.sp_addextendedproperty @name=N'SCD  Type', @value=N'2', @level0type=N'SCHEMA', @level0name=N'dbo', @level1type=N'TABLE', @level1name=N'CustomersDim', @level2type=N'COLUMN', @level2name=N'CustomerCity'; </t>
  </si>
  <si>
    <t xml:space="preserve">exec sys.sp_addextendedproperty @name=N'SCD  Type', @value=N'2', @level0type=N'SCHEMA', @level0name=N'dbo', @level1type=N'TABLE', @level1name=N'CustomersDim', @level2type=N'COLUMN', @level2name=N'CustomerState'; </t>
  </si>
  <si>
    <t xml:space="preserve">exec sys.sp_addextendedproperty @name=N'SCD  Type', @value=N'2', @level0type=N'SCHEMA', @level0name=N'dbo', @level1type=N'TABLE', @level1name=N'CustomersDim', @level2type=N'COLUMN', @level2name=N'CustomerCityState'; </t>
  </si>
  <si>
    <t xml:space="preserve">exec sys.sp_addextendedproperty @name=N'ETL Rules', @value=N'FirstName + '' '' + LastName', @level0type=N'SCHEMA', @level0name=N'dbo', @level1type=N'TABLE', @level1name=N'CustomersDim', @level2type=N'COLUMN', @level2name=N'CustomerName'; </t>
  </si>
  <si>
    <t xml:space="preserve">exec sys.sp_addextendedproperty @name=N'ETL Rules', @value=N'City + '', '' + State', @level0type=N'SCHEMA', @level0name=N'dbo', @level1type=N'TABLE', @level1name=N'CustomersDim', @level2type=N'COLUMN', @level2name=N'CustomerCityState'; </t>
  </si>
  <si>
    <t xml:space="preserve">exec sys.sp_addextendedproperty @name=N'ETL Rules', @value=N'Standard SCD-2', @level0type=N'SCHEMA', @level0name=N'dbo', @level1type=N'TABLE', @level1name=N'CustomersDim', @level2type=N'COLUMN', @level2name=N'RowIsCurrent'; </t>
  </si>
  <si>
    <t xml:space="preserve">exec sys.sp_addextendedproperty @name=N'ETL Rules', @value=N'Standard SCD-2', @level0type=N'SCHEMA', @level0name=N'dbo', @level1type=N'TABLE', @level1name=N'CustomersDim', @level2type=N'COLUMN', @level2name=N'RowStartDate'; </t>
  </si>
  <si>
    <t xml:space="preserve">exec sys.sp_addextendedproperty @name=N'ETL Rules', @value=N'Standard SCD-2', @level0type=N'SCHEMA', @level0name=N'dbo', @level1type=N'TABLE', @level1name=N'CustomersDim', @level2type=N'COLUMN', @level2name=N'RowEndDate'; </t>
  </si>
  <si>
    <t xml:space="preserve">exec sys.sp_addextendedproperty @name=N'ETL Rules', @value=N'Standard SCD-2', @level0type=N'SCHEMA', @level0name=N'dbo', @level1type=N'TABLE', @level1name=N'CustomersDim', @level2type=N'COLUMN', @level2name=N'RowChangeReason'; </t>
  </si>
  <si>
    <t xml:space="preserve">exec sys.sp_addextendedproperty @name=N'Source System', @value=N'fudgemart_v3', @level0type=N'SCHEMA', @level0name=N'dbo', @level1type=N'TABLE', @level1name=N'CustomersDim', @level2type=N'COLUMN', @level2name=N'CustomerID'; </t>
  </si>
  <si>
    <t xml:space="preserve">exec sys.sp_addextendedproperty @name=N'Source System', @value=N'fudgemart_v3', @level0type=N'SCHEMA', @level0name=N'dbo', @level1type=N'TABLE', @level1name=N'CustomersDim', @level2type=N'COLUMN', @level2name=N'CustomerEmail'; </t>
  </si>
  <si>
    <t xml:space="preserve">exec sys.sp_addextendedproperty @name=N'Source System', @value=N'fudgemart_v3', @level0type=N'SCHEMA', @level0name=N'dbo', @level1type=N'TABLE', @level1name=N'CustomersDim', @level2type=N'COLUMN', @level2name=N'CustomerAddress'; </t>
  </si>
  <si>
    <t xml:space="preserve">exec sys.sp_addextendedproperty @name=N'Source System', @value=N'fudgemart_v3', @level0type=N'SCHEMA', @level0name=N'dbo', @level1type=N'TABLE', @level1name=N'CustomersDim', @level2type=N'COLUMN', @level2name=N'CustomerZipCode'; </t>
  </si>
  <si>
    <t xml:space="preserve">exec sys.sp_addextendedproperty @name=N'Source System', @value=N'fudgemart_v3', @level0type=N'SCHEMA', @level0name=N'dbo', @level1type=N'TABLE', @level1name=N'CustomersDim', @level2type=N'COLUMN', @level2name=N'CustomerCity'; </t>
  </si>
  <si>
    <t xml:space="preserve">exec sys.sp_addextendedproperty @name=N'Source System', @value=N'fudgemart_v3', @level0type=N'SCHEMA', @level0name=N'dbo', @level1type=N'TABLE', @level1name=N'CustomersDim', @level2type=N'COLUMN', @level2name=N'CustomerState'; </t>
  </si>
  <si>
    <t xml:space="preserve">exec sys.sp_addextendedproperty @name=N'Source Schema', @value=N'dbo', @level0type=N'SCHEMA', @level0name=N'dbo', @level1type=N'TABLE', @level1name=N'CustomersDim', @level2type=N'COLUMN', @level2name=N'CustomerID'; </t>
  </si>
  <si>
    <t xml:space="preserve">exec sys.sp_addextendedproperty @name=N'Source Schema', @value=N'dbo', @level0type=N'SCHEMA', @level0name=N'dbo', @level1type=N'TABLE', @level1name=N'CustomersDim', @level2type=N'COLUMN', @level2name=N'CustomerEmail'; </t>
  </si>
  <si>
    <t xml:space="preserve">exec sys.sp_addextendedproperty @name=N'Source Schema', @value=N'dbo', @level0type=N'SCHEMA', @level0name=N'dbo', @level1type=N'TABLE', @level1name=N'CustomersDim', @level2type=N'COLUMN', @level2name=N'CustomerAddress'; </t>
  </si>
  <si>
    <t xml:space="preserve">exec sys.sp_addextendedproperty @name=N'Source Schema', @value=N'dbo', @level0type=N'SCHEMA', @level0name=N'dbo', @level1type=N'TABLE', @level1name=N'CustomersDim', @level2type=N'COLUMN', @level2name=N'CustomerZipCode'; </t>
  </si>
  <si>
    <t xml:space="preserve">exec sys.sp_addextendedproperty @name=N'Source Schema', @value=N'dbo', @level0type=N'SCHEMA', @level0name=N'dbo', @level1type=N'TABLE', @level1name=N'CustomersDim', @level2type=N'COLUMN', @level2name=N'CustomerCity'; </t>
  </si>
  <si>
    <t xml:space="preserve">exec sys.sp_addextendedproperty @name=N'Source Schema', @value=N'dbo', @level0type=N'SCHEMA', @level0name=N'dbo', @level1type=N'TABLE', @level1name=N'CustomersDim', @level2type=N'COLUMN', @level2name=N'CustomerState'; </t>
  </si>
  <si>
    <t xml:space="preserve">exec sys.sp_addextendedproperty @name=N'Source Table', @value=N'fm_customers', @level0type=N'SCHEMA', @level0name=N'dbo', @level1type=N'TABLE', @level1name=N'CustomersDim', @level2type=N'COLUMN', @level2name=N'CustomerID'; </t>
  </si>
  <si>
    <t xml:space="preserve">exec sys.sp_addextendedproperty @name=N'Source Table', @value=N'fm_customers', @level0type=N'SCHEMA', @level0name=N'dbo', @level1type=N'TABLE', @level1name=N'CustomersDim', @level2type=N'COLUMN', @level2name=N'CustomerEmail'; </t>
  </si>
  <si>
    <t xml:space="preserve">exec sys.sp_addextendedproperty @name=N'Source Table', @value=N'fm_customers', @level0type=N'SCHEMA', @level0name=N'dbo', @level1type=N'TABLE', @level1name=N'CustomersDim', @level2type=N'COLUMN', @level2name=N'CustomerAddress'; </t>
  </si>
  <si>
    <t xml:space="preserve">exec sys.sp_addextendedproperty @name=N'Source Table', @value=N'fm_customers', @level0type=N'SCHEMA', @level0name=N'dbo', @level1type=N'TABLE', @level1name=N'CustomersDim', @level2type=N'COLUMN', @level2name=N'CustomerZipCode'; </t>
  </si>
  <si>
    <t xml:space="preserve">exec sys.sp_addextendedproperty @name=N'Source Table', @value=N'fm_customers', @level0type=N'SCHEMA', @level0name=N'dbo', @level1type=N'TABLE', @level1name=N'CustomersDim', @level2type=N'COLUMN', @level2name=N'CustomerCity'; </t>
  </si>
  <si>
    <t xml:space="preserve">exec sys.sp_addextendedproperty @name=N'Source Table', @value=N'fm_customers', @level0type=N'SCHEMA', @level0name=N'dbo', @level1type=N'TABLE', @level1name=N'CustomersDim', @level2type=N'COLUMN', @level2name=N'CustomerState'; </t>
  </si>
  <si>
    <t xml:space="preserve">exec sys.sp_addextendedproperty @name=N'Source Field Name', @value=N'customer_id', @level0type=N'SCHEMA', @level0name=N'dbo', @level1type=N'TABLE', @level1name=N'CustomersDim', @level2type=N'COLUMN', @level2name=N'CustomerID'; </t>
  </si>
  <si>
    <t xml:space="preserve">exec sys.sp_addextendedproperty @name=N'Source Field Name', @value=N'customer_email', @level0type=N'SCHEMA', @level0name=N'dbo', @level1type=N'TABLE', @level1name=N'CustomersDim', @level2type=N'COLUMN', @level2name=N'CustomerEmail'; </t>
  </si>
  <si>
    <t xml:space="preserve">exec sys.sp_addextendedproperty @name=N'Source Field Name', @value=N'customer_address', @level0type=N'SCHEMA', @level0name=N'dbo', @level1type=N'TABLE', @level1name=N'CustomersDim', @level2type=N'COLUMN', @level2name=N'CustomerAddress'; </t>
  </si>
  <si>
    <t xml:space="preserve">exec sys.sp_addextendedproperty @name=N'Source Field Name', @value=N'customer_zip', @level0type=N'SCHEMA', @level0name=N'dbo', @level1type=N'TABLE', @level1name=N'CustomersDim', @level2type=N'COLUMN', @level2name=N'CustomerZipCode'; </t>
  </si>
  <si>
    <t xml:space="preserve">exec sys.sp_addextendedproperty @name=N'Source Field Name', @value=N'customer_city', @level0type=N'SCHEMA', @level0name=N'dbo', @level1type=N'TABLE', @level1name=N'CustomersDim', @level2type=N'COLUMN', @level2name=N'CustomerCity'; </t>
  </si>
  <si>
    <t xml:space="preserve">exec sys.sp_addextendedproperty @name=N'Source Field Name', @value=N'customer_state', @level0type=N'SCHEMA', @level0name=N'dbo', @level1type=N'TABLE', @level1name=N'CustomersDim', @level2type=N'COLUMN', @level2name=N'CustomerState'; </t>
  </si>
  <si>
    <t xml:space="preserve">exec sys.sp_addextendedproperty @name=N'Source Datatype', @value=N'INT', @level0type=N'SCHEMA', @level0name=N'dbo', @level1type=N'TABLE', @level1name=N'CustomersDim', @level2type=N'COLUMN', @level2name=N'CustomerID'; </t>
  </si>
  <si>
    <t xml:space="preserve">exec sys.sp_addextendedproperty @name=N'Source Datatype', @value=N'VARCHAR(100)', @level0type=N'SCHEMA', @level0name=N'dbo', @level1type=N'TABLE', @level1name=N'CustomersDim', @level2type=N'COLUMN', @level2name=N'CustomerEmail'; </t>
  </si>
  <si>
    <t xml:space="preserve">exec sys.sp_addextendedproperty @name=N'Source Datatype', @value=N'VARCHAR(255)', @level0type=N'SCHEMA', @level0name=N'dbo', @level1type=N'TABLE', @level1name=N'CustomersDim', @level2type=N'COLUMN', @level2name=N'CustomerAddress'; </t>
  </si>
  <si>
    <t xml:space="preserve">exec sys.sp_addextendedproperty @name=N'Source Datatype', @value=N'VARCHAR(20)', @level0type=N'SCHEMA', @level0name=N'dbo', @level1type=N'TABLE', @level1name=N'CustomersDim', @level2type=N'COLUMN', @level2name=N'CustomerZipCode'; </t>
  </si>
  <si>
    <t xml:space="preserve">exec sys.sp_addextendedproperty @name=N'Source Datatype', @value=N'VARCHAR(50)', @level0type=N'SCHEMA', @level0name=N'dbo', @level1type=N'TABLE', @level1name=N'CustomersDim', @level2type=N'COLUMN', @level2name=N'CustomerCity'; </t>
  </si>
  <si>
    <t xml:space="preserve">exec sys.sp_addextendedproperty @name=N'Source Datatype', @value=N'CHAR(2)', @level0type=N'SCHEMA', @level0name=N'dbo', @level1type=N'TABLE', @level1name=N'CustomersDim', @level2type=N'COLUMN', @level2name=N'CustomerState'; </t>
  </si>
  <si>
    <t xml:space="preserve">exec sys.sp_addextendedproperty @name=N'Source System', @value=N'fudgeflix_v3', @level0type=N'SCHEMA', @level0name=N'dbo', @level1type=N'TABLE', @level1name=N'CustomersDim', @level2type=N'COLUMN', @level2name=N'CustomerID'; </t>
  </si>
  <si>
    <t xml:space="preserve">exec sys.sp_addextendedproperty @name=N'Source System', @value=N'fudgeflix_v3', @level0type=N'SCHEMA', @level0name=N'dbo', @level1type=N'TABLE', @level1name=N'CustomersDim', @level2type=N'COLUMN', @level2name=N'CustomerEmail'; </t>
  </si>
  <si>
    <t xml:space="preserve">exec sys.sp_addextendedproperty @name=N'Source System', @value=N'fudgeflix_v3', @level0type=N'SCHEMA', @level0name=N'dbo', @level1type=N'TABLE', @level1name=N'CustomersDim', @level2type=N'COLUMN', @level2name=N'CustomerAddress'; </t>
  </si>
  <si>
    <t xml:space="preserve">exec sys.sp_addextendedproperty @name=N'Source System', @value=N'fudgeflix_v3', @level0type=N'SCHEMA', @level0name=N'dbo', @level1type=N'TABLE', @level1name=N'CustomersDim', @level2type=N'COLUMN', @level2name=N'CustomerZipCode'; </t>
  </si>
  <si>
    <t xml:space="preserve">exec sys.sp_addextendedproperty @name=N'Source System', @value=N'fudgeflix_v3', @level0type=N'SCHEMA', @level0name=N'dbo', @level1type=N'TABLE', @level1name=N'CustomersDim', @level2type=N'COLUMN', @level2name=N'CustomerCity'; </t>
  </si>
  <si>
    <t xml:space="preserve">exec sys.sp_addextendedproperty @name=N'Source System', @value=N'fudgeflix_v3', @level0type=N'SCHEMA', @level0name=N'dbo', @level1type=N'TABLE', @level1name=N'CustomersDim', @level2type=N'COLUMN', @level2name=N'CustomerState'; </t>
  </si>
  <si>
    <t xml:space="preserve">exec sys.sp_addextendedproperty @name=N'Source Table', @value=N'ff_accounts', @level0type=N'SCHEMA', @level0name=N'dbo', @level1type=N'TABLE', @level1name=N'CustomersDim', @level2type=N'COLUMN', @level2name=N'CustomerID'; </t>
  </si>
  <si>
    <t xml:space="preserve">exec sys.sp_addextendedproperty @name=N'Source Table', @value=N'ff_accounts', @level0type=N'SCHEMA', @level0name=N'dbo', @level1type=N'TABLE', @level1name=N'CustomersDim', @level2type=N'COLUMN', @level2name=N'CustomerEmail'; </t>
  </si>
  <si>
    <t xml:space="preserve">exec sys.sp_addextendedproperty @name=N'Source Table', @value=N'ff_accounts', @level0type=N'SCHEMA', @level0name=N'dbo', @level1type=N'TABLE', @level1name=N'CustomersDim', @level2type=N'COLUMN', @level2name=N'CustomerAddress'; </t>
  </si>
  <si>
    <t xml:space="preserve">exec sys.sp_addextendedproperty @name=N'Source Table', @value=N'ff_accounts', @level0type=N'SCHEMA', @level0name=N'dbo', @level1type=N'TABLE', @level1name=N'CustomersDim', @level2type=N'COLUMN', @level2name=N'CustomerZipCode'; </t>
  </si>
  <si>
    <t xml:space="preserve">exec sys.sp_addextendedproperty @name=N'Source Table', @value=N'ff_zipcodes', @level0type=N'SCHEMA', @level0name=N'dbo', @level1type=N'TABLE', @level1name=N'CustomersDim', @level2type=N'COLUMN', @level2name=N'CustomerCity'; </t>
  </si>
  <si>
    <t xml:space="preserve">exec sys.sp_addextendedproperty @name=N'Source Table', @value=N'ff_zipcodes', @level0type=N'SCHEMA', @level0name=N'dbo', @level1type=N'TABLE', @level1name=N'CustomersDim', @level2type=N'COLUMN', @level2name=N'CustomerState'; </t>
  </si>
  <si>
    <t xml:space="preserve">exec sys.sp_addextendedproperty @name=N'Source Field Name', @value=N'account_id', @level0type=N'SCHEMA', @level0name=N'dbo', @level1type=N'TABLE', @level1name=N'CustomersDim', @level2type=N'COLUMN', @level2name=N'CustomerID'; </t>
  </si>
  <si>
    <t xml:space="preserve">exec sys.sp_addextendedproperty @name=N'Source Field Name', @value=N'account_email', @level0type=N'SCHEMA', @level0name=N'dbo', @level1type=N'TABLE', @level1name=N'CustomersDim', @level2type=N'COLUMN', @level2name=N'CustomerEmail'; </t>
  </si>
  <si>
    <t xml:space="preserve">exec sys.sp_addextendedproperty @name=N'Source Field Name', @value=N'account_address', @level0type=N'SCHEMA', @level0name=N'dbo', @level1type=N'TABLE', @level1name=N'CustomersDim', @level2type=N'COLUMN', @level2name=N'CustomerAddress'; </t>
  </si>
  <si>
    <t xml:space="preserve">exec sys.sp_addextendedproperty @name=N'Source Field Name', @value=N'account_zipcode', @level0type=N'SCHEMA', @level0name=N'dbo', @level1type=N'TABLE', @level1name=N'CustomersDim', @level2type=N'COLUMN', @level2name=N'CustomerZipCode'; </t>
  </si>
  <si>
    <t xml:space="preserve">exec sys.sp_addextendedproperty @name=N'Source Field Name', @value=N'zip_city', @level0type=N'SCHEMA', @level0name=N'dbo', @level1type=N'TABLE', @level1name=N'CustomersDim', @level2type=N'COLUMN', @level2name=N'CustomerCity'; </t>
  </si>
  <si>
    <t xml:space="preserve">exec sys.sp_addextendedproperty @name=N'Source Field Name', @value=N'zip_state', @level0type=N'SCHEMA', @level0name=N'dbo', @level1type=N'TABLE', @level1name=N'CustomersDim', @level2type=N'COLUMN', @level2name=N'CustomerState'; </t>
  </si>
  <si>
    <t xml:space="preserve">exec sys.sp_addextendedproperty @name=N'Source Datatype', @value=N'VARCHAR(200)', @level0type=N'SCHEMA', @level0name=N'dbo', @level1type=N'TABLE', @level1name=N'CustomersDim', @level2type=N'COLUMN', @level2name=N'CustomerEmail'; </t>
  </si>
  <si>
    <t xml:space="preserve">exec sys.sp_addextendedproperty @name=N'Source Datatype', @value=N'VARCHAR(1000)', @level0type=N'SCHEMA', @level0name=N'dbo', @level1type=N'TABLE', @level1name=N'CustomersDim', @level2type=N'COLUMN', @level2name=N'CustomerAddress'; </t>
  </si>
  <si>
    <t xml:space="preserve">exec sys.sp_addextendedproperty @name=N'Source Datatype', @value=N'VARCHAR(5)', @level0type=N'SCHEMA', @level0name=N'dbo', @level1type=N'TABLE', @level1name=N'CustomersDim', @level2type=N'COLUMN', @level2name=N'CustomerZipCode'; </t>
  </si>
  <si>
    <t>/* Drop table dbo.ProductsDim */</t>
  </si>
  <si>
    <t>IF EXISTS (SELECT * FROM dbo.sysobjects WHERE id = OBJECT_ID(N'dbo.ProductsDim') AND OBJECTPROPERTY(id, N'IsUserTable') = 1)</t>
  </si>
  <si>
    <t xml:space="preserve">DROP TABLE dbo.ProductsDim </t>
  </si>
  <si>
    <t>/* Create table dbo.ProductsDim */</t>
  </si>
  <si>
    <t>CREATE TABLE dbo.ProductsDim (</t>
  </si>
  <si>
    <t xml:space="preserve">   [ProductsDimID]  INT IDENTITY  NOT NULL</t>
  </si>
  <si>
    <t>,  [ProductID]  INT   NOT NULL</t>
  </si>
  <si>
    <t>,  [ProductName]  VARCHAR(50)   NOT NULL</t>
  </si>
  <si>
    <t>,  [ProductActiveStatus]  BIT   NOT NULL</t>
  </si>
  <si>
    <t xml:space="preserve">, CONSTRAINT [PK_dbo.ProductsDim] PRIMARY KEY CLUSTERED </t>
  </si>
  <si>
    <t>( [ProductsDimID] )</t>
  </si>
  <si>
    <t>exec sys.sp_addextendedproperty @name=N'Table Type', @value=N'Dimension', @level0type=N'SCHEMA', @level0name=dbo, @level1type=N'TABLE', @level1name=ProductsDim</t>
  </si>
  <si>
    <t>exec sys.sp_addextendedproperty @name=N'Display Name', @value=N'ProductsDim', @level0type=N'SCHEMA', @level0name=dbo, @level1type=N'TABLE', @level1name=ProductsDim</t>
  </si>
  <si>
    <t>exec sys.sp_addextendedproperty @name=N'Table Description', @value=N'Fudgemart Products and Fudgeflix Plans', @level0type=N'SCHEMA', @level0name=dbo, @level1type=N'TABLE', @level1name=ProductsDim</t>
  </si>
  <si>
    <t>SET IDENTITY_INSERT dbo.ProductsDim ON</t>
  </si>
  <si>
    <t>INSERT INTO dbo.ProductsDim (ProductsDimID, ProductID, CompanyDivision, ProductName, ProductActiveStatus, RowIsCurrent, RowStartDate, RowEndDate, RowChangeReason)</t>
  </si>
  <si>
    <t>VALUES (-1, -1, '---', 'Missing Data', 1, 1, '1/1/1970', '12/31/9999', 'Missing Data')</t>
  </si>
  <si>
    <t>SET IDENTITY_INSERT dbo.ProductsDim OFF</t>
  </si>
  <si>
    <t xml:space="preserve">exec sys.sp_addextendedproperty @name=N'Display Name', @value=N'ProductsDimID', @level0type=N'SCHEMA', @level0name=N'dbo', @level1type=N'TABLE', @level1name=N'ProductsDim', @level2type=N'COLUMN', @level2name=N'ProductsDimID'; </t>
  </si>
  <si>
    <t xml:space="preserve">exec sys.sp_addextendedproperty @name=N'Display Name', @value=N'ProductID', @level0type=N'SCHEMA', @level0name=N'dbo', @level1type=N'TABLE', @level1name=N'ProductsDim', @level2type=N'COLUMN', @level2name=N'ProductID'; </t>
  </si>
  <si>
    <t xml:space="preserve">exec sys.sp_addextendedproperty @name=N'Display Name', @value=N'CompanyDivision', @level0type=N'SCHEMA', @level0name=N'dbo', @level1type=N'TABLE', @level1name=N'ProductsDim', @level2type=N'COLUMN', @level2name=N'CompanyDivision'; </t>
  </si>
  <si>
    <t xml:space="preserve">exec sys.sp_addextendedproperty @name=N'Display Name', @value=N'ProductName', @level0type=N'SCHEMA', @level0name=N'dbo', @level1type=N'TABLE', @level1name=N'ProductsDim', @level2type=N'COLUMN', @level2name=N'ProductName'; </t>
  </si>
  <si>
    <t xml:space="preserve">exec sys.sp_addextendedproperty @name=N'Display Name', @value=N'ProductActiveStatus', @level0type=N'SCHEMA', @level0name=N'dbo', @level1type=N'TABLE', @level1name=N'ProductsDim', @level2type=N'COLUMN', @level2name=N'ProductActiveStatus'; </t>
  </si>
  <si>
    <t xml:space="preserve">exec sys.sp_addextendedproperty @name=N'Display Name', @value=N'Row Is Current', @level0type=N'SCHEMA', @level0name=N'dbo', @level1type=N'TABLE', @level1name=N'ProductsDim', @level2type=N'COLUMN', @level2name=N'RowIsCurrent'; </t>
  </si>
  <si>
    <t xml:space="preserve">exec sys.sp_addextendedproperty @name=N'Display Name', @value=N'Row Start Date', @level0type=N'SCHEMA', @level0name=N'dbo', @level1type=N'TABLE', @level1name=N'ProductsDim', @level2type=N'COLUMN', @level2name=N'RowStartDate'; </t>
  </si>
  <si>
    <t xml:space="preserve">exec sys.sp_addextendedproperty @name=N'Display Name', @value=N'Row End Date', @level0type=N'SCHEMA', @level0name=N'dbo', @level1type=N'TABLE', @level1name=N'ProductsDim', @level2type=N'COLUMN', @level2name=N'RowEndDate'; </t>
  </si>
  <si>
    <t xml:space="preserve">exec sys.sp_addextendedproperty @name=N'Display Name', @value=N'Row Change Reason', @level0type=N'SCHEMA', @level0name=N'dbo', @level1type=N'TABLE', @level1name=N'ProductsDim', @level2type=N'COLUMN', @level2name=N'RowChangeReason'; </t>
  </si>
  <si>
    <t xml:space="preserve">exec sys.sp_addextendedproperty @name=N'Description', @value=N'Surrogate Primary Key', @level0type=N'SCHEMA', @level0name=N'dbo', @level1type=N'TABLE', @level1name=N'ProductsDim', @level2type=N'COLUMN', @level2name=N'ProductsDimID'; </t>
  </si>
  <si>
    <t xml:space="preserve">exec sys.sp_addextendedproperty @name=N'Description', @value=N'Business Key', @level0type=N'SCHEMA', @level0name=N'dbo', @level1type=N'TABLE', @level1name=N'ProductsDim', @level2type=N'COLUMN', @level2name=N'ProductID'; </t>
  </si>
  <si>
    <t xml:space="preserve">exec sys.sp_addextendedproperty @name=N'Description', @value=N'FMT for Fudgemart / FFT for Fudgeflix', @level0type=N'SCHEMA', @level0name=N'dbo', @level1type=N'TABLE', @level1name=N'ProductsDim', @level2type=N'COLUMN', @level2name=N'CompanyDivision'; </t>
  </si>
  <si>
    <t xml:space="preserve">exec sys.sp_addextendedproperty @name=N'Description', @value=N'Product Name', @level0type=N'SCHEMA', @level0name=N'dbo', @level1type=N'TABLE', @level1name=N'ProductsDim', @level2type=N'COLUMN', @level2name=N'ProductName'; </t>
  </si>
  <si>
    <t xml:space="preserve">exec sys.sp_addextendedproperty @name=N'Description', @value=N'1 if product is active, 0 if product is inactive', @level0type=N'SCHEMA', @level0name=N'dbo', @level1type=N'TABLE', @level1name=N'ProductsDim', @level2type=N'COLUMN', @level2name=N'ProductActiveStatus'; </t>
  </si>
  <si>
    <t xml:space="preserve">exec sys.sp_addextendedproperty @name=N'Description', @value=N'Is this the current row for this member (Y/N)?', @level0type=N'SCHEMA', @level0name=N'dbo', @level1type=N'TABLE', @level1name=N'ProductsDim', @level2type=N'COLUMN', @level2name=N'RowIsCurrent'; </t>
  </si>
  <si>
    <t xml:space="preserve">exec sys.sp_addextendedproperty @name=N'Description', @value=N'When did this row become valid for this member?', @level0type=N'SCHEMA', @level0name=N'dbo', @level1type=N'TABLE', @level1name=N'ProductsDim', @level2type=N'COLUMN', @level2name=N'RowStartDate'; </t>
  </si>
  <si>
    <t xml:space="preserve">exec sys.sp_addextendedproperty @name=N'Description', @value=N'When did this row become invalid? (12/31/9999 if current row)', @level0type=N'SCHEMA', @level0name=N'dbo', @level1type=N'TABLE', @level1name=N'ProductsDim', @level2type=N'COLUMN', @level2name=N'RowEndDate'; </t>
  </si>
  <si>
    <t xml:space="preserve">exec sys.sp_addextendedproperty @name=N'Description', @value=N'Why did the row change last?', @level0type=N'SCHEMA', @level0name=N'dbo', @level1type=N'TABLE', @level1name=N'ProductsDim', @level2type=N'COLUMN', @level2name=N'RowChangeReason'; </t>
  </si>
  <si>
    <t xml:space="preserve">exec sys.sp_addextendedproperty @name=N'SCD  Type', @value=N'key', @level0type=N'SCHEMA', @level0name=N'dbo', @level1type=N'TABLE', @level1name=N'ProductsDim', @level2type=N'COLUMN', @level2name=N'ProductsDimID'; </t>
  </si>
  <si>
    <t xml:space="preserve">exec sys.sp_addextendedproperty @name=N'SCD  Type', @value=N'key', @level0type=N'SCHEMA', @level0name=N'dbo', @level1type=N'TABLE', @level1name=N'ProductsDim', @level2type=N'COLUMN', @level2name=N'ProductID'; </t>
  </si>
  <si>
    <t xml:space="preserve">exec sys.sp_addextendedproperty @name=N'SCD  Type', @value=N'key', @level0type=N'SCHEMA', @level0name=N'dbo', @level1type=N'TABLE', @level1name=N'ProductsDim', @level2type=N'COLUMN', @level2name=N'CompanyDivision'; </t>
  </si>
  <si>
    <t xml:space="preserve">exec sys.sp_addextendedproperty @name=N'SCD  Type', @value=N'2', @level0type=N'SCHEMA', @level0name=N'dbo', @level1type=N'TABLE', @level1name=N'ProductsDim', @level2type=N'COLUMN', @level2name=N'ProductName'; </t>
  </si>
  <si>
    <t xml:space="preserve">exec sys.sp_addextendedproperty @name=N'SCD  Type', @value=N'2', @level0type=N'SCHEMA', @level0name=N'dbo', @level1type=N'TABLE', @level1name=N'ProductsDim', @level2type=N'COLUMN', @level2name=N'ProductActiveStatus'; </t>
  </si>
  <si>
    <t xml:space="preserve">exec sys.sp_addextendedproperty @name=N'ETL Rules', @value=N'Standard SCD-2', @level0type=N'SCHEMA', @level0name=N'dbo', @level1type=N'TABLE', @level1name=N'ProductsDim', @level2type=N'COLUMN', @level2name=N'RowIsCurrent'; </t>
  </si>
  <si>
    <t xml:space="preserve">exec sys.sp_addextendedproperty @name=N'ETL Rules', @value=N'Standard SCD-2', @level0type=N'SCHEMA', @level0name=N'dbo', @level1type=N'TABLE', @level1name=N'ProductsDim', @level2type=N'COLUMN', @level2name=N'RowStartDate'; </t>
  </si>
  <si>
    <t xml:space="preserve">exec sys.sp_addextendedproperty @name=N'ETL Rules', @value=N'Standard SCD-2', @level0type=N'SCHEMA', @level0name=N'dbo', @level1type=N'TABLE', @level1name=N'ProductsDim', @level2type=N'COLUMN', @level2name=N'RowEndDate'; </t>
  </si>
  <si>
    <t xml:space="preserve">exec sys.sp_addextendedproperty @name=N'ETL Rules', @value=N'Standard SCD-2', @level0type=N'SCHEMA', @level0name=N'dbo', @level1type=N'TABLE', @level1name=N'ProductsDim', @level2type=N'COLUMN', @level2name=N'RowChangeReason'; </t>
  </si>
  <si>
    <t xml:space="preserve">exec sys.sp_addextendedproperty @name=N'Source System', @value=N'fudgemart_v3', @level0type=N'SCHEMA', @level0name=N'dbo', @level1type=N'TABLE', @level1name=N'ProductsDim', @level2type=N'COLUMN', @level2name=N'ProductID'; </t>
  </si>
  <si>
    <t xml:space="preserve">exec sys.sp_addextendedproperty @name=N'Source System', @value=N'fudgemart_v3', @level0type=N'SCHEMA', @level0name=N'dbo', @level1type=N'TABLE', @level1name=N'ProductsDim', @level2type=N'COLUMN', @level2name=N'ProductName'; </t>
  </si>
  <si>
    <t xml:space="preserve">exec sys.sp_addextendedproperty @name=N'Source System', @value=N'fudgemart_v3', @level0type=N'SCHEMA', @level0name=N'dbo', @level1type=N'TABLE', @level1name=N'ProductsDim', @level2type=N'COLUMN', @level2name=N'ProductActiveStatus'; </t>
  </si>
  <si>
    <t xml:space="preserve">exec sys.sp_addextendedproperty @name=N'Source Schema', @value=N'dbo', @level0type=N'SCHEMA', @level0name=N'dbo', @level1type=N'TABLE', @level1name=N'ProductsDim', @level2type=N'COLUMN', @level2name=N'ProductID'; </t>
  </si>
  <si>
    <t xml:space="preserve">exec sys.sp_addextendedproperty @name=N'Source Schema', @value=N'dbo', @level0type=N'SCHEMA', @level0name=N'dbo', @level1type=N'TABLE', @level1name=N'ProductsDim', @level2type=N'COLUMN', @level2name=N'ProductName'; </t>
  </si>
  <si>
    <t xml:space="preserve">exec sys.sp_addextendedproperty @name=N'Source Schema', @value=N'dbo', @level0type=N'SCHEMA', @level0name=N'dbo', @level1type=N'TABLE', @level1name=N'ProductsDim', @level2type=N'COLUMN', @level2name=N'ProductActiveStatus'; </t>
  </si>
  <si>
    <t xml:space="preserve">exec sys.sp_addextendedproperty @name=N'Source Table', @value=N'fm_products', @level0type=N'SCHEMA', @level0name=N'dbo', @level1type=N'TABLE', @level1name=N'ProductsDim', @level2type=N'COLUMN', @level2name=N'ProductID'; </t>
  </si>
  <si>
    <t xml:space="preserve">exec sys.sp_addextendedproperty @name=N'Source Table', @value=N'fm_products', @level0type=N'SCHEMA', @level0name=N'dbo', @level1type=N'TABLE', @level1name=N'ProductsDim', @level2type=N'COLUMN', @level2name=N'ProductName'; </t>
  </si>
  <si>
    <t xml:space="preserve">exec sys.sp_addextendedproperty @name=N'Source Table', @value=N'fm_products', @level0type=N'SCHEMA', @level0name=N'dbo', @level1type=N'TABLE', @level1name=N'ProductsDim', @level2type=N'COLUMN', @level2name=N'ProductActiveStatus'; </t>
  </si>
  <si>
    <t xml:space="preserve">exec sys.sp_addextendedproperty @name=N'Source Field Name', @value=N'product_id', @level0type=N'SCHEMA', @level0name=N'dbo', @level1type=N'TABLE', @level1name=N'ProductsDim', @level2type=N'COLUMN', @level2name=N'ProductID'; </t>
  </si>
  <si>
    <t xml:space="preserve">exec sys.sp_addextendedproperty @name=N'Source Field Name', @value=N'product_name', @level0type=N'SCHEMA', @level0name=N'dbo', @level1type=N'TABLE', @level1name=N'ProductsDim', @level2type=N'COLUMN', @level2name=N'ProductName'; </t>
  </si>
  <si>
    <t xml:space="preserve">exec sys.sp_addextendedproperty @name=N'Source Field Name', @value=N'product_is_active', @level0type=N'SCHEMA', @level0name=N'dbo', @level1type=N'TABLE', @level1name=N'ProductsDim', @level2type=N'COLUMN', @level2name=N'ProductActiveStatus'; </t>
  </si>
  <si>
    <t xml:space="preserve">exec sys.sp_addextendedproperty @name=N'Source Datatype', @value=N'INT', @level0type=N'SCHEMA', @level0name=N'dbo', @level1type=N'TABLE', @level1name=N'ProductsDim', @level2type=N'COLUMN', @level2name=N'ProductID'; </t>
  </si>
  <si>
    <t xml:space="preserve">exec sys.sp_addextendedproperty @name=N'Source Datatype', @value=N'VARCHAR(50)', @level0type=N'SCHEMA', @level0name=N'dbo', @level1type=N'TABLE', @level1name=N'ProductsDim', @level2type=N'COLUMN', @level2name=N'ProductName'; </t>
  </si>
  <si>
    <t xml:space="preserve">exec sys.sp_addextendedproperty @name=N'Source Datatype', @value=N'BIT', @level0type=N'SCHEMA', @level0name=N'dbo', @level1type=N'TABLE', @level1name=N'ProductsDim', @level2type=N'COLUMN', @level2name=N'ProductActiveStatus'; </t>
  </si>
  <si>
    <t xml:space="preserve">exec sys.sp_addextendedproperty @name=N'Source System', @value=N'fudgeflix_v3', @level0type=N'SCHEMA', @level0name=N'dbo', @level1type=N'TABLE', @level1name=N'ProductsDim', @level2type=N'COLUMN', @level2name=N'ProductID'; </t>
  </si>
  <si>
    <t xml:space="preserve">exec sys.sp_addextendedproperty @name=N'Source System', @value=N'fudgeflix_v3', @level0type=N'SCHEMA', @level0name=N'dbo', @level1type=N'TABLE', @level1name=N'ProductsDim', @level2type=N'COLUMN', @level2name=N'ProductName'; </t>
  </si>
  <si>
    <t xml:space="preserve">exec sys.sp_addextendedproperty @name=N'Source System', @value=N'fudgeflix_v3', @level0type=N'SCHEMA', @level0name=N'dbo', @level1type=N'TABLE', @level1name=N'ProductsDim', @level2type=N'COLUMN', @level2name=N'ProductActiveStatus'; </t>
  </si>
  <si>
    <t xml:space="preserve">exec sys.sp_addextendedproperty @name=N'Source Table', @value=N'ff_plans', @level0type=N'SCHEMA', @level0name=N'dbo', @level1type=N'TABLE', @level1name=N'ProductsDim', @level2type=N'COLUMN', @level2name=N'ProductID'; </t>
  </si>
  <si>
    <t xml:space="preserve">exec sys.sp_addextendedproperty @name=N'Source Table', @value=N'ff_plans', @level0type=N'SCHEMA', @level0name=N'dbo', @level1type=N'TABLE', @level1name=N'ProductsDim', @level2type=N'COLUMN', @level2name=N'ProductName'; </t>
  </si>
  <si>
    <t xml:space="preserve">exec sys.sp_addextendedproperty @name=N'Source Table', @value=N'ff_plans', @level0type=N'SCHEMA', @level0name=N'dbo', @level1type=N'TABLE', @level1name=N'ProductsDim', @level2type=N'COLUMN', @level2name=N'ProductActiveStatus'; </t>
  </si>
  <si>
    <t xml:space="preserve">exec sys.sp_addextendedproperty @name=N'Source Field Name', @value=N'plan_id', @level0type=N'SCHEMA', @level0name=N'dbo', @level1type=N'TABLE', @level1name=N'ProductsDim', @level2type=N'COLUMN', @level2name=N'ProductID'; </t>
  </si>
  <si>
    <t xml:space="preserve">exec sys.sp_addextendedproperty @name=N'Source Field Name', @value=N'plan_name', @level0type=N'SCHEMA', @level0name=N'dbo', @level1type=N'TABLE', @level1name=N'ProductsDim', @level2type=N'COLUMN', @level2name=N'ProductName'; </t>
  </si>
  <si>
    <t xml:space="preserve">exec sys.sp_addextendedproperty @name=N'Source Field Name', @value=N'plan_current', @level0type=N'SCHEMA', @level0name=N'dbo', @level1type=N'TABLE', @level1name=N'ProductsDim', @level2type=N'COLUMN', @level2name=N'ProductActiveStatus'; </t>
  </si>
  <si>
    <t>/* Drop table dbo.SalesTransactionsFact */</t>
  </si>
  <si>
    <t>IF EXISTS (SELECT * FROM dbo.sysobjects WHERE id = OBJECT_ID(N'dbo.SalesTransactionsFact') AND OBJECTPROPERTY(id, N'IsUserTable') = 1)</t>
  </si>
  <si>
    <t xml:space="preserve">DROP TABLE dbo.SalesTransactionsFact </t>
  </si>
  <si>
    <t>/* Create table dbo.SalesTransactionsFact */</t>
  </si>
  <si>
    <t>CREATE TABLE dbo.SalesTransactionsFact (</t>
  </si>
  <si>
    <t xml:space="preserve">   [CustomersDimID]  INT   NOT NULL</t>
  </si>
  <si>
    <t>,  [ProductsDimID]  INT   NOT NULL</t>
  </si>
  <si>
    <t>,  [Quantity]  INT  DEFAULT 0 NOT NULL</t>
  </si>
  <si>
    <t>,  [OrderID]  INT   NOT NULL</t>
  </si>
  <si>
    <t>,  [SalesDateKey]  INT  DEFAULT -1 NOT NULL</t>
  </si>
  <si>
    <t>exec sys.sp_addextendedproperty @name=N'Table Type', @value=N'Fact', @level0type=N'SCHEMA', @level0name=dbo, @level1type=N'TABLE', @level1name=SalesTransactionsFact</t>
  </si>
  <si>
    <t>exec sys.sp_addextendedproperty @name=N'Display Name', @value=N'SalesTransactionsFact', @level0type=N'SCHEMA', @level0name=dbo, @level1type=N'TABLE', @level1name=SalesTransactionsFact</t>
  </si>
  <si>
    <t>exec sys.sp_addextendedproperty @name=N'Table Description', @value=N'Sales Transactions of Fudgemart and Fudgeflix', @level0type=N'SCHEMA', @level0name=dbo, @level1type=N'TABLE', @level1name=SalesTransactionsFact</t>
  </si>
  <si>
    <t xml:space="preserve">exec sys.sp_addextendedproperty @name=N'Display Name', @value=N'CustomersDimID', @level0type=N'SCHEMA', @level0name=N'dbo', @level1type=N'TABLE', @level1name=N'SalesTransactionsFact', @level2type=N'COLUMN', @level2name=N'CustomersDimID'; </t>
  </si>
  <si>
    <t xml:space="preserve">exec sys.sp_addextendedproperty @name=N'Display Name', @value=N'ProductsDimID', @level0type=N'SCHEMA', @level0name=N'dbo', @level1type=N'TABLE', @level1name=N'SalesTransactionsFact', @level2type=N'COLUMN', @level2name=N'ProductsDimID'; </t>
  </si>
  <si>
    <t xml:space="preserve">exec sys.sp_addextendedproperty @name=N'Display Name', @value=N'CompanyDivision', @level0type=N'SCHEMA', @level0name=N'dbo', @level1type=N'TABLE', @level1name=N'SalesTransactionsFact', @level2type=N'COLUMN', @level2name=N'CompanyDivision'; </t>
  </si>
  <si>
    <t xml:space="preserve">exec sys.sp_addextendedproperty @name=N'Display Name', @value=N'Quantity', @level0type=N'SCHEMA', @level0name=N'dbo', @level1type=N'TABLE', @level1name=N'SalesTransactionsFact', @level2type=N'COLUMN', @level2name=N'Quantity'; </t>
  </si>
  <si>
    <t xml:space="preserve">exec sys.sp_addextendedproperty @name=N'Display Name', @value=N'PricePerUnit', @level0type=N'SCHEMA', @level0name=N'dbo', @level1type=N'TABLE', @level1name=N'SalesTransactionsFact', @level2type=N'COLUMN', @level2name=N'PricePerUnit'; </t>
  </si>
  <si>
    <t xml:space="preserve">exec sys.sp_addextendedproperty @name=N'Display Name', @value=N'Revenue', @level0type=N'SCHEMA', @level0name=N'dbo', @level1type=N'TABLE', @level1name=N'SalesTransactionsFact', @level2type=N'COLUMN', @level2name=N'Revenue'; </t>
  </si>
  <si>
    <t xml:space="preserve">exec sys.sp_addextendedproperty @name=N'Display Name', @value=N'OrderID', @level0type=N'SCHEMA', @level0name=N'dbo', @level1type=N'TABLE', @level1name=N'SalesTransactionsFact', @level2type=N'COLUMN', @level2name=N'OrderID'; </t>
  </si>
  <si>
    <t xml:space="preserve">exec sys.sp_addextendedproperty @name=N'Display Name', @value=N'ProfitPerUnit', @level0type=N'SCHEMA', @level0name=N'dbo', @level1type=N'TABLE', @level1name=N'SalesTransactionsFact', @level2type=N'COLUMN', @level2name=N'ProfitPerUnit'; </t>
  </si>
  <si>
    <t xml:space="preserve">exec sys.sp_addextendedproperty @name=N'Display Name', @value=N'Profit', @level0type=N'SCHEMA', @level0name=N'dbo', @level1type=N'TABLE', @level1name=N'SalesTransactionsFact', @level2type=N'COLUMN', @level2name=N'Profit'; </t>
  </si>
  <si>
    <t xml:space="preserve">exec sys.sp_addextendedproperty @name=N'Display Name', @value=N'SalesDateKey', @level0type=N'SCHEMA', @level0name=N'dbo', @level1type=N'TABLE', @level1name=N'SalesTransactionsFact', @level2type=N'COLUMN', @level2name=N'SalesDateKey'; </t>
  </si>
  <si>
    <t xml:space="preserve">exec sys.sp_addextendedproperty @name=N'Description', @value=N'FK to CustomersDim', @level0type=N'SCHEMA', @level0name=N'dbo', @level1type=N'TABLE', @level1name=N'SalesTransactionsFact', @level2type=N'COLUMN', @level2name=N'CustomersDimID'; </t>
  </si>
  <si>
    <t xml:space="preserve">exec sys.sp_addextendedproperty @name=N'Description', @value=N'FK to ProductsDim', @level0type=N'SCHEMA', @level0name=N'dbo', @level1type=N'TABLE', @level1name=N'SalesTransactionsFact', @level2type=N'COLUMN', @level2name=N'ProductsDimID'; </t>
  </si>
  <si>
    <t xml:space="preserve">exec sys.sp_addextendedproperty @name=N'Description', @value=N'FMT for Fudgemart / FFT for Fudgeflix', @level0type=N'SCHEMA', @level0name=N'dbo', @level1type=N'TABLE', @level1name=N'SalesTransactionsFact', @level2type=N'COLUMN', @level2name=N'CompanyDivision'; </t>
  </si>
  <si>
    <t xml:space="preserve">exec sys.sp_addextendedproperty @name=N'Description', @value=N'quantity ordered for Fudgemart / 1 for Fidgeflix', @level0type=N'SCHEMA', @level0name=N'dbo', @level1type=N'TABLE', @level1name=N'SalesTransactionsFact', @level2type=N'COLUMN', @level2name=N'Quantity'; </t>
  </si>
  <si>
    <t xml:space="preserve">exec sys.sp_addextendedproperty @name=N'Description', @value=N'Price per Unit', @level0type=N'SCHEMA', @level0name=N'dbo', @level1type=N'TABLE', @level1name=N'SalesTransactionsFact', @level2type=N'COLUMN', @level2name=N'PricePerUnit'; </t>
  </si>
  <si>
    <t xml:space="preserve">exec sys.sp_addextendedproperty @name=N'Description', @value=N'Quantity * Price', @level0type=N'SCHEMA', @level0name=N'dbo', @level1type=N'TABLE', @level1name=N'SalesTransactionsFact', @level2type=N'COLUMN', @level2name=N'Revenue'; </t>
  </si>
  <si>
    <t xml:space="preserve">exec sys.sp_addextendedproperty @name=N'Description', @value=N'order_id for Fudgemart / ab_id for Fudgeflix', @level0type=N'SCHEMA', @level0name=N'dbo', @level1type=N'TABLE', @level1name=N'SalesTransactionsFact', @level2type=N'COLUMN', @level2name=N'OrderID'; </t>
  </si>
  <si>
    <t xml:space="preserve">exec sys.sp_addextendedproperty @name=N'Description', @value=N'Profit per Unit', @level0type=N'SCHEMA', @level0name=N'dbo', @level1type=N'TABLE', @level1name=N'SalesTransactionsFact', @level2type=N'COLUMN', @level2name=N'ProfitPerUnit'; </t>
  </si>
  <si>
    <t xml:space="preserve">exec sys.sp_addextendedproperty @name=N'Description', @value=N'Profit per Unit * Quantity', @level0type=N'SCHEMA', @level0name=N'dbo', @level1type=N'TABLE', @level1name=N'SalesTransactionsFact', @level2type=N'COLUMN', @level2name=N'Profit'; </t>
  </si>
  <si>
    <t xml:space="preserve">exec sys.sp_addextendedproperty @name=N'Description', @value=N'Date of sales transaction
order_date for Fudgemart / ab_date for Fudgeflix', @level0type=N'SCHEMA', @level0name=N'dbo', @level1type=N'TABLE', @level1name=N'SalesTransactionsFact', @level2type=N'COLUMN', @level2name=N'SalesDateKey'; </t>
  </si>
  <si>
    <t xml:space="preserve">exec sys.sp_addextendedproperty @name=N'ETL Rules', @value=N'Quantity * Price', @level0type=N'SCHEMA', @level0name=N'dbo', @level1type=N'TABLE', @level1name=N'SalesTransactionsFact', @level2type=N'COLUMN', @level2name=N'Revenue'; </t>
  </si>
  <si>
    <t xml:space="preserve">exec sys.sp_addextendedproperty @name=N'ETL Rules', @value=N'Retail price - Wholesale Price for Fudgemart
Billed Amount * 0.8 for Fudgeflix', @level0type=N'SCHEMA', @level0name=N'dbo', @level1type=N'TABLE', @level1name=N'SalesTransactionsFact', @level2type=N'COLUMN', @level2name=N'ProfitPerUnit'; </t>
  </si>
  <si>
    <t xml:space="preserve">exec sys.sp_addextendedproperty @name=N'ETL Rules', @value=N'Profit per Unit * Quantity', @level0type=N'SCHEMA', @level0name=N'dbo', @level1type=N'TABLE', @level1name=N'SalesTransactionsFact', @level2type=N'COLUMN', @level2name=N'Profit'; </t>
  </si>
  <si>
    <t xml:space="preserve">exec sys.sp_addextendedproperty @name=N'Source System', @value=N'fudgemart_v3', @level0type=N'SCHEMA', @level0name=N'dbo', @level1type=N'TABLE', @level1name=N'SalesTransactionsFact', @level2type=N'COLUMN', @level2name=N'Quantity'; </t>
  </si>
  <si>
    <t xml:space="preserve">exec sys.sp_addextendedproperty @name=N'Source System', @value=N'fudgemart_v3', @level0type=N'SCHEMA', @level0name=N'dbo', @level1type=N'TABLE', @level1name=N'SalesTransactionsFact', @level2type=N'COLUMN', @level2name=N'PricePerUnit'; </t>
  </si>
  <si>
    <t xml:space="preserve">exec sys.sp_addextendedproperty @name=N'Source System', @value=N'fudgemart_v3', @level0type=N'SCHEMA', @level0name=N'dbo', @level1type=N'TABLE', @level1name=N'SalesTransactionsFact', @level2type=N'COLUMN', @level2name=N'OrderID'; </t>
  </si>
  <si>
    <t xml:space="preserve">exec sys.sp_addextendedproperty @name=N'Source Schema', @value=N'dbo', @level0type=N'SCHEMA', @level0name=N'dbo', @level1type=N'TABLE', @level1name=N'SalesTransactionsFact', @level2type=N'COLUMN', @level2name=N'Quantity'; </t>
  </si>
  <si>
    <t xml:space="preserve">exec sys.sp_addextendedproperty @name=N'Source Schema', @value=N'dbo', @level0type=N'SCHEMA', @level0name=N'dbo', @level1type=N'TABLE', @level1name=N'SalesTransactionsFact', @level2type=N'COLUMN', @level2name=N'PricePerUnit'; </t>
  </si>
  <si>
    <t xml:space="preserve">exec sys.sp_addextendedproperty @name=N'Source Schema', @value=N'dbo', @level0type=N'SCHEMA', @level0name=N'dbo', @level1type=N'TABLE', @level1name=N'SalesTransactionsFact', @level2type=N'COLUMN', @level2name=N'OrderID'; </t>
  </si>
  <si>
    <t xml:space="preserve">exec sys.sp_addextendedproperty @name=N'Source Table', @value=N'fm_order_details', @level0type=N'SCHEMA', @level0name=N'dbo', @level1type=N'TABLE', @level1name=N'SalesTransactionsFact', @level2type=N'COLUMN', @level2name=N'Quantity'; </t>
  </si>
  <si>
    <t xml:space="preserve">exec sys.sp_addextendedproperty @name=N'Source Table', @value=N'fm_products', @level0type=N'SCHEMA', @level0name=N'dbo', @level1type=N'TABLE', @level1name=N'SalesTransactionsFact', @level2type=N'COLUMN', @level2name=N'PricePerUnit'; </t>
  </si>
  <si>
    <t xml:space="preserve">exec sys.sp_addextendedproperty @name=N'Source Table', @value=N'fm_orders', @level0type=N'SCHEMA', @level0name=N'dbo', @level1type=N'TABLE', @level1name=N'SalesTransactionsFact', @level2type=N'COLUMN', @level2name=N'OrderID'; </t>
  </si>
  <si>
    <t xml:space="preserve">exec sys.sp_addextendedproperty @name=N'Source Field Name', @value=N'order_qty', @level0type=N'SCHEMA', @level0name=N'dbo', @level1type=N'TABLE', @level1name=N'SalesTransactionsFact', @level2type=N'COLUMN', @level2name=N'Quantity'; </t>
  </si>
  <si>
    <t xml:space="preserve">exec sys.sp_addextendedproperty @name=N'Source Field Name', @value=N'product_retail_price', @level0type=N'SCHEMA', @level0name=N'dbo', @level1type=N'TABLE', @level1name=N'SalesTransactionsFact', @level2type=N'COLUMN', @level2name=N'PricePerUnit'; </t>
  </si>
  <si>
    <t xml:space="preserve">exec sys.sp_addextendedproperty @name=N'Source Field Name', @value=N'order_id', @level0type=N'SCHEMA', @level0name=N'dbo', @level1type=N'TABLE', @level1name=N'SalesTransactionsFact', @level2type=N'COLUMN', @level2name=N'OrderID'; </t>
  </si>
  <si>
    <t xml:space="preserve">exec sys.sp_addextendedproperty @name=N'Source Datatype', @value=N'INT', @level0type=N'SCHEMA', @level0name=N'dbo', @level1type=N'TABLE', @level1name=N'SalesTransactionsFact', @level2type=N'COLUMN', @level2name=N'Quantity'; </t>
  </si>
  <si>
    <t xml:space="preserve">exec sys.sp_addextendedproperty @name=N'Source Datatype', @value=N'MONEY', @level0type=N'SCHEMA', @level0name=N'dbo', @level1type=N'TABLE', @level1name=N'SalesTransactionsFact', @level2type=N'COLUMN', @level2name=N'PricePerUnit'; </t>
  </si>
  <si>
    <t xml:space="preserve">exec sys.sp_addextendedproperty @name=N'Source Datatype', @value=N'INT', @level0type=N'SCHEMA', @level0name=N'dbo', @level1type=N'TABLE', @level1name=N'SalesTransactionsFact', @level2type=N'COLUMN', @level2name=N'OrderID'; </t>
  </si>
  <si>
    <t xml:space="preserve">exec sys.sp_addextendedproperty @name=N'Source System', @value=N'fudgeflix_v3', @level0type=N'SCHEMA', @level0name=N'dbo', @level1type=N'TABLE', @level1name=N'SalesTransactionsFact', @level2type=N'COLUMN', @level2name=N'PricePerUnit'; </t>
  </si>
  <si>
    <t xml:space="preserve">exec sys.sp_addextendedproperty @name=N'Source System', @value=N'fudgeflix_v3', @level0type=N'SCHEMA', @level0name=N'dbo', @level1type=N'TABLE', @level1name=N'SalesTransactionsFact', @level2type=N'COLUMN', @level2name=N'OrderID'; </t>
  </si>
  <si>
    <t xml:space="preserve">exec sys.sp_addextendedproperty @name=N'Source Table', @value=N'ff_account_billing', @level0type=N'SCHEMA', @level0name=N'dbo', @level1type=N'TABLE', @level1name=N'SalesTransactionsFact', @level2type=N'COLUMN', @level2name=N'PricePerUnit'; </t>
  </si>
  <si>
    <t xml:space="preserve">exec sys.sp_addextendedproperty @name=N'Source Table', @value=N'ff_account_billing', @level0type=N'SCHEMA', @level0name=N'dbo', @level1type=N'TABLE', @level1name=N'SalesTransactionsFact', @level2type=N'COLUMN', @level2name=N'OrderID'; </t>
  </si>
  <si>
    <t xml:space="preserve">exec sys.sp_addextendedproperty @name=N'Source Field Name', @value=N'ab_billed_amount', @level0type=N'SCHEMA', @level0name=N'dbo', @level1type=N'TABLE', @level1name=N'SalesTransactionsFact', @level2type=N'COLUMN', @level2name=N'PricePerUnit'; </t>
  </si>
  <si>
    <t xml:space="preserve">exec sys.sp_addextendedproperty @name=N'Source Field Name', @value=N'ab_id', @level0type=N'SCHEMA', @level0name=N'dbo', @level1type=N'TABLE', @level1name=N'SalesTransactionsFact', @level2type=N'COLUMN', @level2name=N'OrderID'; </t>
  </si>
  <si>
    <t>ALTER TABLE dbo.SalesTransactionsFact ADD CONSTRAINT</t>
  </si>
  <si>
    <t xml:space="preserve">   FK_dbo_SalesTransactionsFact_CustomersDimID FOREIGN KEY</t>
  </si>
  <si>
    <t xml:space="preserve">   (</t>
  </si>
  <si>
    <t xml:space="preserve">   CustomersDimID</t>
  </si>
  <si>
    <t xml:space="preserve">   ) REFERENCES CustomersDim</t>
  </si>
  <si>
    <t xml:space="preserve">   ( CustomersDimID )</t>
  </si>
  <si>
    <t xml:space="preserve">     ON UPDATE  NO ACTION</t>
  </si>
  <si>
    <t xml:space="preserve">     ON DELETE  NO ACTION</t>
  </si>
  <si>
    <t xml:space="preserve">   FK_dbo_SalesTransactionsFact_ProductsDimID FOREIGN KEY</t>
  </si>
  <si>
    <t xml:space="preserve">   ProductsDimID</t>
  </si>
  <si>
    <t xml:space="preserve">   ) REFERENCES ProductsDim</t>
  </si>
  <si>
    <t xml:space="preserve">   ( ProductsDimID )</t>
  </si>
  <si>
    <t xml:space="preserve">   FK_dbo_SalesTransactionsFact_SalesDateKey FOREIGN KEY</t>
  </si>
  <si>
    <t xml:space="preserve">   SalesDateKey</t>
  </si>
  <si>
    <t xml:space="preserve">   ) REFERENCES DimDate</t>
  </si>
  <si>
    <t xml:space="preserve">   ( DateKey )</t>
  </si>
  <si>
    <t>,  [PricePerUnit]  DECIMAL(14,2)  DEFAULT 0 NOT NULL</t>
  </si>
  <si>
    <t>,  [Revenue]  DECIMAL(14,2)  DEFAULT 0 NOT NULL</t>
  </si>
  <si>
    <t>,  [ProfitPerUnit]  DECIMAL(14,2)  DEFAULT 0 NOT NULL</t>
  </si>
  <si>
    <t>,  [Profit]  DECIMAL(14,2)  DEFAULT 0 NOT NULL</t>
  </si>
  <si>
    <t>/****** Object:  Database ist722_hhkhan_oa3_dw    Script Date: 3/19/2023 8:38:03 PM ******/</t>
  </si>
  <si>
    <t>,  [CustomerZipCode]  VARCHAR(20)  DEFAULT '-----' NOT NULL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</si>
</sst>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4"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90">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164" fontId="4" fillId="22" borderId="0" xfId="44" applyNumberFormat="1" applyFont="1" applyFill="1" applyAlignment="1">
      <alignment horizontal="left"/>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4" fillId="0" borderId="0" xfId="44" applyFont="1" applyAlignment="1">
      <alignment horizontal="left"/>
    </xf>
    <xf numFmtId="0" fontId="3" fillId="0" borderId="0" xfId="44" applyFont="1" applyAlignment="1">
      <alignment horizontal="left"/>
    </xf>
    <xf numFmtId="0" fontId="1" fillId="0" borderId="0" xfId="44" applyAlignment="1">
      <alignment horizontal="left"/>
    </xf>
    <xf numFmtId="0" fontId="4" fillId="0" borderId="0" xfId="44" applyFont="1" applyAlignment="1">
      <alignment horizontal="left" vertical="top"/>
    </xf>
    <xf numFmtId="164" fontId="4" fillId="22" borderId="0" xfId="44" applyNumberFormat="1" applyFont="1" applyFill="1" applyAlignment="1">
      <alignment horizontal="left" vertical="top" wrapText="1"/>
    </xf>
    <xf numFmtId="0" fontId="2" fillId="23" borderId="12" xfId="0" quotePrefix="1" applyFont="1" applyFill="1" applyBorder="1" applyAlignment="1">
      <alignment horizontal="left" vertical="top"/>
    </xf>
    <xf numFmtId="0" fontId="2" fillId="0" borderId="0" xfId="44" applyFont="1" applyAlignment="1">
      <alignment horizontal="left" vertical="top" wrapText="1"/>
    </xf>
    <xf numFmtId="0" fontId="2" fillId="0" borderId="0" xfId="44" applyFont="1" applyAlignment="1">
      <alignment horizontal="left" vertical="top"/>
    </xf>
    <xf numFmtId="14" fontId="2" fillId="0" borderId="0" xfId="44" applyNumberFormat="1" applyFont="1" applyAlignment="1">
      <alignment horizontal="left" vertical="top" wrapText="1"/>
    </xf>
    <xf numFmtId="0" fontId="1" fillId="0" borderId="0" xfId="0" applyFont="1"/>
    <xf numFmtId="0" fontId="2" fillId="21" borderId="0" xfId="0" applyFont="1" applyFill="1" applyAlignment="1">
      <alignment horizontal="center" vertical="top"/>
    </xf>
    <xf numFmtId="0" fontId="1" fillId="21" borderId="0" xfId="0" applyFont="1" applyFill="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8" fontId="2"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E2FDDD1-DBB5-433A-9B9F-264D30F3A642}"/>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1284889</xdr:colOff>
      <xdr:row>31</xdr:row>
      <xdr:rowOff>125796</xdr:rowOff>
    </xdr:from>
    <xdr:to>
      <xdr:col>8</xdr:col>
      <xdr:colOff>258160</xdr:colOff>
      <xdr:row>42</xdr:row>
      <xdr:rowOff>116271</xdr:rowOff>
    </xdr:to>
    <xdr:sp macro="" textlink="">
      <xdr:nvSpPr>
        <xdr:cNvPr id="3" name="Text Box 1">
          <a:extLst>
            <a:ext uri="{FF2B5EF4-FFF2-40B4-BE49-F238E27FC236}">
              <a16:creationId xmlns:a16="http://schemas.microsoft.com/office/drawing/2014/main" id="{36B1AA2E-5B16-4C48-8E3F-E8B47FAFF60D}"/>
            </a:ext>
          </a:extLst>
        </xdr:cNvPr>
        <xdr:cNvSpPr txBox="1">
          <a:spLocks noChangeArrowheads="1"/>
        </xdr:cNvSpPr>
      </xdr:nvSpPr>
      <xdr:spPr bwMode="auto">
        <a:xfrm>
          <a:off x="5285389" y="6484555"/>
          <a:ext cx="5621064" cy="179694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1751287</xdr:colOff>
      <xdr:row>23</xdr:row>
      <xdr:rowOff>112658</xdr:rowOff>
    </xdr:from>
    <xdr:to>
      <xdr:col>8</xdr:col>
      <xdr:colOff>719631</xdr:colOff>
      <xdr:row>36</xdr:row>
      <xdr:rowOff>24305</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4352597" y="4264244"/>
          <a:ext cx="5287689" cy="2046561"/>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108388</xdr:colOff>
      <xdr:row>22</xdr:row>
      <xdr:rowOff>98206</xdr:rowOff>
    </xdr:from>
    <xdr:to>
      <xdr:col>7</xdr:col>
      <xdr:colOff>1937188</xdr:colOff>
      <xdr:row>32</xdr:row>
      <xdr:rowOff>41056</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4194285" y="4203809"/>
          <a:ext cx="6486196" cy="1585092"/>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zoomScaleNormal="75" zoomScaleSheetLayoutView="75" workbookViewId="0">
      <selection activeCell="H20" sqref="H20"/>
    </sheetView>
  </sheetViews>
  <sheetFormatPr defaultColWidth="9.140625" defaultRowHeight="12.75" x14ac:dyDescent="0.2"/>
  <cols>
    <col min="1" max="1" width="5.28515625" style="57" customWidth="1"/>
    <col min="2" max="2" width="25.5703125" style="57" customWidth="1"/>
    <col min="3" max="3" width="106.28515625" style="57" customWidth="1"/>
    <col min="4" max="8" width="9.140625" style="57"/>
    <col min="9" max="9" width="5.7109375" style="57" customWidth="1"/>
    <col min="10" max="16384" width="9.140625" style="57"/>
  </cols>
  <sheetData>
    <row r="1" spans="2:3" s="56" customFormat="1" ht="18" x14ac:dyDescent="0.25">
      <c r="B1" s="55" t="s">
        <v>0</v>
      </c>
    </row>
    <row r="2" spans="2:3" ht="18" x14ac:dyDescent="0.25">
      <c r="B2" s="55" t="s">
        <v>1</v>
      </c>
    </row>
    <row r="3" spans="2:3" ht="18" x14ac:dyDescent="0.25">
      <c r="B3" s="55"/>
    </row>
    <row r="4" spans="2:3" ht="18" x14ac:dyDescent="0.25">
      <c r="B4" s="55" t="s">
        <v>2</v>
      </c>
      <c r="C4" s="41">
        <v>44994</v>
      </c>
    </row>
    <row r="5" spans="2:3" ht="18" x14ac:dyDescent="0.25">
      <c r="B5" s="55" t="s">
        <v>3</v>
      </c>
      <c r="C5" s="42" t="s">
        <v>4</v>
      </c>
    </row>
    <row r="6" spans="2:3" ht="18" x14ac:dyDescent="0.2">
      <c r="B6" s="58" t="s">
        <v>5</v>
      </c>
      <c r="C6" s="59" t="s">
        <v>6</v>
      </c>
    </row>
    <row r="7" spans="2:3" ht="18" x14ac:dyDescent="0.25">
      <c r="B7" s="55" t="s">
        <v>7</v>
      </c>
      <c r="C7" s="42">
        <v>4</v>
      </c>
    </row>
    <row r="8" spans="2:3" ht="18" x14ac:dyDescent="0.25">
      <c r="B8" s="55" t="s">
        <v>8</v>
      </c>
      <c r="C8" s="42" t="s">
        <v>9</v>
      </c>
    </row>
    <row r="9" spans="2:3" ht="18" x14ac:dyDescent="0.25">
      <c r="B9" s="55" t="s">
        <v>10</v>
      </c>
      <c r="C9" s="42"/>
    </row>
    <row r="11" spans="2:3" x14ac:dyDescent="0.2">
      <c r="C11" s="57" t="s">
        <v>11</v>
      </c>
    </row>
    <row r="12" spans="2:3" x14ac:dyDescent="0.2">
      <c r="C12" s="57" t="s">
        <v>12</v>
      </c>
    </row>
    <row r="13" spans="2:3" x14ac:dyDescent="0.2">
      <c r="C13" s="57" t="s">
        <v>13</v>
      </c>
    </row>
    <row r="14" spans="2:3" x14ac:dyDescent="0.2">
      <c r="C14" s="57" t="s">
        <v>14</v>
      </c>
    </row>
    <row r="15" spans="2:3" x14ac:dyDescent="0.2">
      <c r="C15" s="57" t="s">
        <v>15</v>
      </c>
    </row>
    <row r="16" spans="2:3" x14ac:dyDescent="0.2">
      <c r="C16" s="57" t="s">
        <v>16</v>
      </c>
    </row>
    <row r="17" spans="2:3" x14ac:dyDescent="0.2">
      <c r="C17" s="57" t="s">
        <v>17</v>
      </c>
    </row>
    <row r="28" spans="2:3" x14ac:dyDescent="0.2">
      <c r="B28" s="57" t="s">
        <v>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0" customWidth="1"/>
    <col min="6" max="16384" width="9.140625" style="3"/>
  </cols>
  <sheetData>
    <row r="1" spans="1:5" ht="13.5" thickBot="1" x14ac:dyDescent="0.25">
      <c r="A1" s="46" t="s">
        <v>19</v>
      </c>
      <c r="B1" s="46" t="s">
        <v>20</v>
      </c>
      <c r="C1" s="46" t="s">
        <v>21</v>
      </c>
      <c r="D1" s="46" t="s">
        <v>22</v>
      </c>
      <c r="E1" s="47" t="s">
        <v>23</v>
      </c>
    </row>
    <row r="2" spans="1:5" ht="26.25" thickTop="1" x14ac:dyDescent="0.2">
      <c r="A2" s="14">
        <v>40581</v>
      </c>
      <c r="B2" s="15">
        <v>16</v>
      </c>
      <c r="C2" s="49">
        <v>4</v>
      </c>
      <c r="D2" s="52" t="s">
        <v>24</v>
      </c>
      <c r="E2" s="48" t="s">
        <v>25</v>
      </c>
    </row>
    <row r="3" spans="1:5" ht="25.5" x14ac:dyDescent="0.2">
      <c r="A3" s="14">
        <v>39860</v>
      </c>
      <c r="B3" s="15">
        <v>15</v>
      </c>
      <c r="C3" s="49">
        <v>3.4</v>
      </c>
      <c r="D3" s="15" t="s">
        <v>24</v>
      </c>
      <c r="E3" s="16" t="s">
        <v>26</v>
      </c>
    </row>
    <row r="4" spans="1:5" ht="25.5" x14ac:dyDescent="0.2">
      <c r="A4" s="13">
        <v>39828</v>
      </c>
      <c r="B4" s="11">
        <v>14</v>
      </c>
      <c r="C4" s="50">
        <v>3.4</v>
      </c>
      <c r="D4" s="11" t="s">
        <v>24</v>
      </c>
      <c r="E4" s="18" t="s">
        <v>27</v>
      </c>
    </row>
    <row r="5" spans="1:5" x14ac:dyDescent="0.2">
      <c r="A5" s="13">
        <v>39610</v>
      </c>
      <c r="B5" s="11">
        <v>13</v>
      </c>
      <c r="C5" s="50">
        <v>3.3</v>
      </c>
      <c r="D5" s="11" t="s">
        <v>28</v>
      </c>
      <c r="E5" s="12" t="s">
        <v>29</v>
      </c>
    </row>
    <row r="6" spans="1:5" ht="25.5" x14ac:dyDescent="0.2">
      <c r="A6" s="13">
        <v>39588</v>
      </c>
      <c r="B6" s="11">
        <v>12</v>
      </c>
      <c r="C6" s="50">
        <v>3.3</v>
      </c>
      <c r="D6" s="11" t="s">
        <v>28</v>
      </c>
      <c r="E6" s="12" t="s">
        <v>30</v>
      </c>
    </row>
    <row r="7" spans="1:5" ht="25.5" x14ac:dyDescent="0.2">
      <c r="A7" s="13">
        <v>39542</v>
      </c>
      <c r="B7" s="11">
        <v>11</v>
      </c>
      <c r="C7" s="50">
        <v>3.2</v>
      </c>
      <c r="D7" s="11" t="s">
        <v>28</v>
      </c>
      <c r="E7" s="12" t="s">
        <v>31</v>
      </c>
    </row>
    <row r="8" spans="1:5" ht="25.5" x14ac:dyDescent="0.2">
      <c r="A8" s="13">
        <v>39402</v>
      </c>
      <c r="B8" s="11">
        <v>10</v>
      </c>
      <c r="C8" s="50">
        <v>3.2</v>
      </c>
      <c r="D8" s="11" t="s">
        <v>28</v>
      </c>
      <c r="E8" s="12" t="s">
        <v>32</v>
      </c>
    </row>
    <row r="9" spans="1:5" ht="25.5" x14ac:dyDescent="0.2">
      <c r="A9" s="13">
        <v>38939</v>
      </c>
      <c r="B9" s="11">
        <v>9</v>
      </c>
      <c r="C9" s="50"/>
      <c r="D9" s="11" t="s">
        <v>28</v>
      </c>
      <c r="E9" s="12" t="s">
        <v>33</v>
      </c>
    </row>
    <row r="10" spans="1:5" x14ac:dyDescent="0.2">
      <c r="A10" s="13">
        <v>38936</v>
      </c>
      <c r="B10" s="11">
        <v>8</v>
      </c>
      <c r="C10" s="50"/>
      <c r="D10" s="11" t="s">
        <v>28</v>
      </c>
      <c r="E10" s="12" t="s">
        <v>34</v>
      </c>
    </row>
    <row r="11" spans="1:5" ht="25.5" x14ac:dyDescent="0.2">
      <c r="A11" s="13">
        <v>38923</v>
      </c>
      <c r="B11" s="11">
        <v>7</v>
      </c>
      <c r="C11" s="50"/>
      <c r="D11" s="11" t="s">
        <v>28</v>
      </c>
      <c r="E11" s="12" t="s">
        <v>35</v>
      </c>
    </row>
    <row r="12" spans="1:5" x14ac:dyDescent="0.2">
      <c r="A12" s="13">
        <v>38923</v>
      </c>
      <c r="B12" s="11">
        <v>6</v>
      </c>
      <c r="C12" s="50"/>
      <c r="D12" s="11" t="s">
        <v>28</v>
      </c>
      <c r="E12" s="12" t="s">
        <v>36</v>
      </c>
    </row>
    <row r="13" spans="1:5" ht="18.75" customHeight="1" x14ac:dyDescent="0.2">
      <c r="A13" s="13">
        <v>38911</v>
      </c>
      <c r="B13" s="11">
        <v>5</v>
      </c>
      <c r="C13" s="50"/>
      <c r="D13" s="11" t="s">
        <v>28</v>
      </c>
      <c r="E13" s="12" t="s">
        <v>37</v>
      </c>
    </row>
    <row r="14" spans="1:5" x14ac:dyDescent="0.2">
      <c r="A14" s="13">
        <v>38855</v>
      </c>
      <c r="B14" s="11">
        <v>4</v>
      </c>
      <c r="C14" s="50"/>
      <c r="D14" s="11" t="s">
        <v>24</v>
      </c>
      <c r="E14" s="12" t="s">
        <v>38</v>
      </c>
    </row>
    <row r="15" spans="1:5" x14ac:dyDescent="0.2">
      <c r="A15" s="13">
        <v>38728</v>
      </c>
      <c r="B15" s="11">
        <v>3</v>
      </c>
      <c r="C15" s="50"/>
      <c r="D15" s="11" t="s">
        <v>24</v>
      </c>
      <c r="E15" s="12" t="s">
        <v>39</v>
      </c>
    </row>
    <row r="16" spans="1:5" x14ac:dyDescent="0.2">
      <c r="A16" s="13">
        <v>38594</v>
      </c>
      <c r="B16" s="11">
        <v>2</v>
      </c>
      <c r="C16" s="50"/>
      <c r="D16" s="11" t="s">
        <v>28</v>
      </c>
      <c r="E16" s="12" t="s">
        <v>40</v>
      </c>
    </row>
    <row r="17" spans="1:5" x14ac:dyDescent="0.2">
      <c r="A17" s="43">
        <v>38594</v>
      </c>
      <c r="B17" s="44">
        <v>1</v>
      </c>
      <c r="C17" s="51"/>
      <c r="D17" s="44" t="s">
        <v>28</v>
      </c>
      <c r="E17" s="45" t="s">
        <v>41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32B8A-A423-4925-858E-22F7DD0819C1}">
  <sheetPr codeName="Sheet31">
    <tabColor theme="7" tint="0.79998168889431442"/>
    <pageSetUpPr fitToPage="1"/>
  </sheetPr>
  <dimension ref="A1:Z26"/>
  <sheetViews>
    <sheetView zoomScale="145" zoomScaleNormal="145" zoomScaleSheetLayoutView="100" workbookViewId="0">
      <pane xSplit="2" ySplit="12" topLeftCell="J13" activePane="bottomRight" state="frozenSplit"/>
      <selection pane="topRight" activeCell="C1" sqref="C1"/>
      <selection pane="bottomLeft" activeCell="A13" sqref="A13"/>
      <selection pane="bottomRight" activeCell="P19" sqref="P19"/>
    </sheetView>
  </sheetViews>
  <sheetFormatPr defaultColWidth="9.140625" defaultRowHeight="12.75" x14ac:dyDescent="0.2"/>
  <cols>
    <col min="1" max="1" width="20.42578125" style="8" customWidth="1"/>
    <col min="2" max="2" width="39.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27.28515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1.85546875" style="8" customWidth="1"/>
    <col min="17" max="17" width="10.42578125" style="8" customWidth="1"/>
    <col min="18" max="18" width="12" style="8" bestFit="1" customWidth="1"/>
    <col min="19" max="19" width="13.7109375" style="8" bestFit="1" customWidth="1"/>
    <col min="20" max="20" width="14.85546875" style="8" bestFit="1" customWidth="1"/>
    <col min="21" max="21" width="12.140625" style="8" customWidth="1"/>
    <col min="22" max="22" width="10.42578125" style="8" customWidth="1"/>
    <col min="23" max="23" width="12" style="8" bestFit="1" customWidth="1"/>
    <col min="24" max="24" width="13.7109375" style="8" bestFit="1" customWidth="1"/>
    <col min="25" max="25" width="14.85546875" style="8" bestFit="1" customWidth="1"/>
    <col min="26" max="26" width="12.85546875" style="8" customWidth="1"/>
    <col min="27" max="16384" width="9.140625" style="8"/>
  </cols>
  <sheetData>
    <row r="1" spans="1:26" s="9" customFormat="1" ht="18" x14ac:dyDescent="0.25">
      <c r="A1" s="22" t="s">
        <v>42</v>
      </c>
      <c r="B1" s="7" t="s">
        <v>43</v>
      </c>
      <c r="C1"/>
      <c r="E1" s="4"/>
      <c r="F1" s="4"/>
      <c r="G1"/>
    </row>
    <row r="2" spans="1:26" customFormat="1" x14ac:dyDescent="0.2">
      <c r="A2" s="23" t="s">
        <v>44</v>
      </c>
      <c r="B2" s="17" t="s">
        <v>45</v>
      </c>
      <c r="E2" s="2"/>
      <c r="F2" s="2"/>
    </row>
    <row r="3" spans="1:26" x14ac:dyDescent="0.2">
      <c r="A3" s="24" t="s">
        <v>46</v>
      </c>
      <c r="B3" s="17" t="s">
        <v>43</v>
      </c>
    </row>
    <row r="4" spans="1:26" x14ac:dyDescent="0.2">
      <c r="A4" s="24" t="s">
        <v>47</v>
      </c>
    </row>
    <row r="5" spans="1:26" customFormat="1" x14ac:dyDescent="0.2">
      <c r="A5" s="23" t="s">
        <v>48</v>
      </c>
      <c r="B5" s="17" t="s">
        <v>49</v>
      </c>
      <c r="E5" s="2"/>
      <c r="F5" s="2"/>
      <c r="H5" s="8"/>
    </row>
    <row r="6" spans="1:26" customFormat="1" x14ac:dyDescent="0.2">
      <c r="A6" s="23" t="s">
        <v>50</v>
      </c>
      <c r="B6" s="17"/>
      <c r="E6" s="2"/>
      <c r="F6" s="2"/>
    </row>
    <row r="7" spans="1:26" customFormat="1" x14ac:dyDescent="0.2">
      <c r="A7" s="25" t="s">
        <v>51</v>
      </c>
      <c r="B7" s="8"/>
      <c r="E7" s="2"/>
      <c r="F7" s="2"/>
    </row>
    <row r="8" spans="1:26" customFormat="1" x14ac:dyDescent="0.2">
      <c r="A8" s="25" t="s">
        <v>52</v>
      </c>
      <c r="B8" s="17" t="s">
        <v>53</v>
      </c>
      <c r="E8" s="2"/>
      <c r="F8" s="2"/>
    </row>
    <row r="9" spans="1:26" customFormat="1" x14ac:dyDescent="0.2">
      <c r="A9" s="23" t="s">
        <v>54</v>
      </c>
      <c r="B9" s="32" t="s">
        <v>9</v>
      </c>
      <c r="C9" s="64"/>
      <c r="E9" s="2"/>
      <c r="F9" s="2"/>
      <c r="G9" s="64"/>
    </row>
    <row r="11" spans="1:26" s="21" customFormat="1" ht="13.5" customHeight="1" x14ac:dyDescent="0.2">
      <c r="A11" s="65"/>
      <c r="B11" s="65"/>
      <c r="C11" s="65"/>
      <c r="D11" s="65"/>
      <c r="E11" s="40"/>
      <c r="F11" s="40"/>
      <c r="G11" s="65"/>
      <c r="H11" s="39"/>
      <c r="I11" s="66"/>
      <c r="J11" s="78" t="s">
        <v>55</v>
      </c>
      <c r="K11" s="79"/>
      <c r="L11" s="79"/>
      <c r="M11" s="79"/>
      <c r="N11" s="79"/>
      <c r="O11" s="79"/>
      <c r="P11" s="80"/>
      <c r="Q11" s="81" t="s">
        <v>56</v>
      </c>
      <c r="R11" s="82"/>
      <c r="S11" s="82"/>
      <c r="T11" s="82"/>
      <c r="U11" s="83"/>
      <c r="V11" s="81" t="s">
        <v>57</v>
      </c>
      <c r="W11" s="82"/>
      <c r="X11" s="82"/>
      <c r="Y11" s="82"/>
      <c r="Z11" s="83"/>
    </row>
    <row r="12" spans="1:26" s="21" customFormat="1" ht="26.25" customHeight="1" x14ac:dyDescent="0.2">
      <c r="A12" s="40" t="s">
        <v>58</v>
      </c>
      <c r="B12" s="40" t="s">
        <v>46</v>
      </c>
      <c r="C12" s="40" t="s">
        <v>23</v>
      </c>
      <c r="D12" s="40" t="s">
        <v>59</v>
      </c>
      <c r="E12" s="40" t="s">
        <v>60</v>
      </c>
      <c r="F12" s="40" t="s">
        <v>61</v>
      </c>
      <c r="G12" s="40" t="s">
        <v>62</v>
      </c>
      <c r="H12" s="40" t="s">
        <v>63</v>
      </c>
      <c r="I12" s="40" t="s">
        <v>64</v>
      </c>
      <c r="J12" s="67" t="s">
        <v>65</v>
      </c>
      <c r="K12" s="65" t="s">
        <v>52</v>
      </c>
      <c r="L12" s="65" t="s">
        <v>66</v>
      </c>
      <c r="M12" s="65" t="s">
        <v>67</v>
      </c>
      <c r="N12" s="65" t="s">
        <v>68</v>
      </c>
      <c r="O12" s="65" t="s">
        <v>69</v>
      </c>
      <c r="P12" s="68" t="s">
        <v>70</v>
      </c>
      <c r="Q12" s="69" t="s">
        <v>71</v>
      </c>
      <c r="R12" s="65" t="s">
        <v>72</v>
      </c>
      <c r="S12" s="65" t="s">
        <v>73</v>
      </c>
      <c r="T12" s="65" t="s">
        <v>74</v>
      </c>
      <c r="U12" s="68" t="s">
        <v>75</v>
      </c>
      <c r="V12" s="69" t="s">
        <v>71</v>
      </c>
      <c r="W12" s="65" t="s">
        <v>72</v>
      </c>
      <c r="X12" s="65" t="s">
        <v>73</v>
      </c>
      <c r="Y12" s="65" t="s">
        <v>74</v>
      </c>
      <c r="Z12" s="68" t="s">
        <v>75</v>
      </c>
    </row>
    <row r="13" spans="1:26" s="20" customFormat="1" ht="11.25" x14ac:dyDescent="0.2">
      <c r="A13" s="19" t="s">
        <v>76</v>
      </c>
      <c r="B13" s="19" t="s">
        <v>76</v>
      </c>
      <c r="C13" s="19" t="s">
        <v>77</v>
      </c>
      <c r="D13" s="20">
        <v>-1</v>
      </c>
      <c r="E13" s="19"/>
      <c r="F13" s="19" t="s">
        <v>78</v>
      </c>
      <c r="G13" s="19"/>
      <c r="H13" s="19"/>
      <c r="I13" s="19"/>
      <c r="J13" s="26" t="s">
        <v>79</v>
      </c>
      <c r="K13" s="27"/>
      <c r="L13" s="27"/>
      <c r="M13" s="27" t="s">
        <v>80</v>
      </c>
      <c r="N13" s="27"/>
      <c r="O13" s="27" t="s">
        <v>81</v>
      </c>
      <c r="P13" s="53"/>
      <c r="Q13" s="28"/>
      <c r="R13" s="29"/>
      <c r="S13" s="27"/>
      <c r="T13" s="29"/>
      <c r="U13" s="30"/>
      <c r="V13" s="28"/>
      <c r="W13" s="29"/>
      <c r="X13" s="27"/>
      <c r="Y13" s="29"/>
      <c r="Z13" s="30"/>
    </row>
    <row r="14" spans="1:26" s="20" customFormat="1" ht="22.5" x14ac:dyDescent="0.2">
      <c r="A14" s="19" t="s">
        <v>82</v>
      </c>
      <c r="B14" s="19" t="s">
        <v>82</v>
      </c>
      <c r="C14" s="19" t="s">
        <v>83</v>
      </c>
      <c r="D14" s="20">
        <v>-1</v>
      </c>
      <c r="E14" s="19"/>
      <c r="F14" s="19" t="s">
        <v>78</v>
      </c>
      <c r="G14" s="19"/>
      <c r="H14" s="19"/>
      <c r="I14" s="19"/>
      <c r="J14" s="26" t="s">
        <v>79</v>
      </c>
      <c r="K14" s="27"/>
      <c r="L14" s="27"/>
      <c r="M14" s="27"/>
      <c r="N14" s="27"/>
      <c r="O14" s="27" t="s">
        <v>81</v>
      </c>
      <c r="P14" s="53"/>
      <c r="Q14" s="28" t="s">
        <v>84</v>
      </c>
      <c r="R14" s="29" t="s">
        <v>85</v>
      </c>
      <c r="S14" s="27" t="s">
        <v>86</v>
      </c>
      <c r="T14" s="29" t="s">
        <v>87</v>
      </c>
      <c r="U14" s="30" t="s">
        <v>79</v>
      </c>
      <c r="V14" s="28" t="s">
        <v>88</v>
      </c>
      <c r="W14" s="29" t="s">
        <v>85</v>
      </c>
      <c r="X14" s="27" t="s">
        <v>89</v>
      </c>
      <c r="Y14" s="29" t="s">
        <v>90</v>
      </c>
      <c r="Z14" s="30" t="s">
        <v>79</v>
      </c>
    </row>
    <row r="15" spans="1:26" s="20" customFormat="1" ht="11.25" x14ac:dyDescent="0.2">
      <c r="A15" s="19" t="s">
        <v>91</v>
      </c>
      <c r="B15" s="19" t="s">
        <v>91</v>
      </c>
      <c r="C15" s="19" t="s">
        <v>92</v>
      </c>
      <c r="D15" s="20" t="str">
        <f>"'"&amp;"---"&amp;"'"</f>
        <v>'---'</v>
      </c>
      <c r="E15" s="19"/>
      <c r="F15" s="19" t="s">
        <v>78</v>
      </c>
      <c r="G15" s="19"/>
      <c r="H15" s="19"/>
      <c r="I15" s="19"/>
      <c r="J15" s="26" t="s">
        <v>93</v>
      </c>
      <c r="K15" s="27">
        <v>3</v>
      </c>
      <c r="L15" s="27"/>
      <c r="M15" s="27"/>
      <c r="N15" s="27"/>
      <c r="O15" s="27" t="s">
        <v>81</v>
      </c>
      <c r="P15" s="53"/>
      <c r="Q15" s="28"/>
      <c r="R15" s="29"/>
      <c r="S15" s="27"/>
      <c r="T15" s="29"/>
      <c r="U15" s="30"/>
      <c r="V15" s="28"/>
      <c r="W15" s="29"/>
      <c r="X15" s="27"/>
      <c r="Y15" s="29"/>
      <c r="Z15" s="30"/>
    </row>
    <row r="16" spans="1:26" s="20" customFormat="1" ht="22.5" x14ac:dyDescent="0.2">
      <c r="A16" s="19" t="s">
        <v>94</v>
      </c>
      <c r="B16" s="19" t="s">
        <v>94</v>
      </c>
      <c r="C16" s="19" t="s">
        <v>95</v>
      </c>
      <c r="D16" s="20" t="str">
        <f t="shared" ref="D16:D20" si="0">"'"&amp;"Missing Data"&amp;"'"</f>
        <v>'Missing Data'</v>
      </c>
      <c r="E16" s="19"/>
      <c r="F16" s="19">
        <v>2</v>
      </c>
      <c r="G16" s="19"/>
      <c r="H16" s="19"/>
      <c r="I16" s="19"/>
      <c r="J16" s="26" t="s">
        <v>96</v>
      </c>
      <c r="K16" s="27">
        <v>200</v>
      </c>
      <c r="L16" s="27"/>
      <c r="M16" s="27"/>
      <c r="N16" s="27"/>
      <c r="O16" s="27" t="s">
        <v>81</v>
      </c>
      <c r="P16" s="53"/>
      <c r="Q16" s="28" t="s">
        <v>84</v>
      </c>
      <c r="R16" s="29" t="s">
        <v>85</v>
      </c>
      <c r="S16" s="27" t="s">
        <v>86</v>
      </c>
      <c r="T16" s="29" t="s">
        <v>97</v>
      </c>
      <c r="U16" s="30" t="s">
        <v>98</v>
      </c>
      <c r="V16" s="28" t="s">
        <v>88</v>
      </c>
      <c r="W16" s="29" t="s">
        <v>85</v>
      </c>
      <c r="X16" s="27" t="s">
        <v>89</v>
      </c>
      <c r="Y16" s="29" t="s">
        <v>99</v>
      </c>
      <c r="Z16" s="30" t="s">
        <v>100</v>
      </c>
    </row>
    <row r="17" spans="1:26" s="20" customFormat="1" ht="11.25" x14ac:dyDescent="0.2">
      <c r="A17" s="19" t="s">
        <v>101</v>
      </c>
      <c r="B17" s="19" t="s">
        <v>101</v>
      </c>
      <c r="C17" s="19" t="s">
        <v>102</v>
      </c>
      <c r="D17" s="20" t="str">
        <f t="shared" si="0"/>
        <v>'Missing Data'</v>
      </c>
      <c r="E17" s="19"/>
      <c r="F17" s="19">
        <v>2</v>
      </c>
      <c r="G17" s="19"/>
      <c r="H17" s="19" t="s">
        <v>103</v>
      </c>
      <c r="I17" s="19"/>
      <c r="J17" s="26" t="s">
        <v>93</v>
      </c>
      <c r="K17" s="27">
        <v>101</v>
      </c>
      <c r="L17" s="27"/>
      <c r="M17" s="27"/>
      <c r="N17" s="27"/>
      <c r="O17" s="27" t="s">
        <v>81</v>
      </c>
      <c r="P17" s="53"/>
      <c r="Q17" s="28"/>
      <c r="R17" s="29"/>
      <c r="S17" s="27"/>
      <c r="T17" s="29"/>
      <c r="U17" s="30"/>
      <c r="V17" s="28"/>
      <c r="W17" s="29"/>
      <c r="X17" s="27"/>
      <c r="Y17" s="29"/>
      <c r="Z17" s="30"/>
    </row>
    <row r="18" spans="1:26" s="20" customFormat="1" ht="22.5" x14ac:dyDescent="0.2">
      <c r="A18" s="19" t="s">
        <v>104</v>
      </c>
      <c r="B18" s="19" t="s">
        <v>104</v>
      </c>
      <c r="C18" s="19" t="s">
        <v>105</v>
      </c>
      <c r="D18" s="20" t="str">
        <f t="shared" si="0"/>
        <v>'Missing Data'</v>
      </c>
      <c r="E18" s="19"/>
      <c r="F18" s="19">
        <v>2</v>
      </c>
      <c r="G18" s="19"/>
      <c r="H18" s="19"/>
      <c r="I18" s="19"/>
      <c r="J18" s="26" t="s">
        <v>96</v>
      </c>
      <c r="K18" s="27">
        <v>1000</v>
      </c>
      <c r="L18" s="27"/>
      <c r="M18" s="27"/>
      <c r="N18" s="27"/>
      <c r="O18" s="27" t="s">
        <v>9</v>
      </c>
      <c r="P18" s="60" t="str">
        <f>"'"&amp;"N/A"&amp;"'"</f>
        <v>'N/A'</v>
      </c>
      <c r="Q18" s="28" t="s">
        <v>84</v>
      </c>
      <c r="R18" s="29" t="s">
        <v>85</v>
      </c>
      <c r="S18" s="27" t="s">
        <v>86</v>
      </c>
      <c r="T18" s="29" t="s">
        <v>106</v>
      </c>
      <c r="U18" s="30" t="s">
        <v>107</v>
      </c>
      <c r="V18" s="28" t="s">
        <v>88</v>
      </c>
      <c r="W18" s="29" t="s">
        <v>85</v>
      </c>
      <c r="X18" s="27" t="s">
        <v>89</v>
      </c>
      <c r="Y18" s="29" t="s">
        <v>108</v>
      </c>
      <c r="Z18" s="30" t="s">
        <v>109</v>
      </c>
    </row>
    <row r="19" spans="1:26" s="20" customFormat="1" ht="22.5" x14ac:dyDescent="0.2">
      <c r="A19" s="19" t="s">
        <v>110</v>
      </c>
      <c r="B19" s="19" t="s">
        <v>110</v>
      </c>
      <c r="C19" s="19" t="s">
        <v>111</v>
      </c>
      <c r="D19" s="20" t="str">
        <f>"'"&amp;"-----"&amp;"'"</f>
        <v>'-----'</v>
      </c>
      <c r="E19" s="19"/>
      <c r="F19" s="19">
        <v>2</v>
      </c>
      <c r="G19" s="19"/>
      <c r="H19" s="19"/>
      <c r="I19" s="19"/>
      <c r="J19" s="26" t="s">
        <v>96</v>
      </c>
      <c r="K19" s="27">
        <v>20</v>
      </c>
      <c r="L19" s="27"/>
      <c r="M19" s="27"/>
      <c r="N19" s="27"/>
      <c r="O19" s="27" t="s">
        <v>81</v>
      </c>
      <c r="P19" s="60" t="str">
        <f>"'"&amp;"-----"&amp;"'"</f>
        <v>'-----'</v>
      </c>
      <c r="Q19" s="28" t="s">
        <v>84</v>
      </c>
      <c r="R19" s="29" t="s">
        <v>85</v>
      </c>
      <c r="S19" s="27" t="s">
        <v>86</v>
      </c>
      <c r="T19" s="29" t="s">
        <v>112</v>
      </c>
      <c r="U19" s="30" t="s">
        <v>113</v>
      </c>
      <c r="V19" s="28" t="s">
        <v>88</v>
      </c>
      <c r="W19" s="29" t="s">
        <v>85</v>
      </c>
      <c r="X19" s="27" t="s">
        <v>89</v>
      </c>
      <c r="Y19" s="29" t="s">
        <v>114</v>
      </c>
      <c r="Z19" s="30" t="s">
        <v>115</v>
      </c>
    </row>
    <row r="20" spans="1:26" s="20" customFormat="1" ht="22.5" x14ac:dyDescent="0.2">
      <c r="A20" s="19" t="s">
        <v>116</v>
      </c>
      <c r="B20" s="19" t="s">
        <v>116</v>
      </c>
      <c r="C20" s="19" t="s">
        <v>117</v>
      </c>
      <c r="D20" s="20" t="str">
        <f t="shared" si="0"/>
        <v>'Missing Data'</v>
      </c>
      <c r="E20" s="19"/>
      <c r="F20" s="19">
        <v>2</v>
      </c>
      <c r="G20" s="19"/>
      <c r="H20" s="19"/>
      <c r="I20" s="19"/>
      <c r="J20" s="26" t="s">
        <v>96</v>
      </c>
      <c r="K20" s="27">
        <v>50</v>
      </c>
      <c r="L20" s="27"/>
      <c r="M20" s="27"/>
      <c r="N20" s="27"/>
      <c r="O20" s="27" t="s">
        <v>81</v>
      </c>
      <c r="P20" s="53"/>
      <c r="Q20" s="28" t="s">
        <v>84</v>
      </c>
      <c r="R20" s="29" t="s">
        <v>85</v>
      </c>
      <c r="S20" s="27" t="s">
        <v>86</v>
      </c>
      <c r="T20" s="29" t="s">
        <v>118</v>
      </c>
      <c r="U20" s="30" t="s">
        <v>119</v>
      </c>
      <c r="V20" s="28" t="s">
        <v>88</v>
      </c>
      <c r="W20" s="29" t="s">
        <v>85</v>
      </c>
      <c r="X20" s="27" t="s">
        <v>120</v>
      </c>
      <c r="Y20" s="29" t="s">
        <v>121</v>
      </c>
      <c r="Z20" s="30" t="s">
        <v>119</v>
      </c>
    </row>
    <row r="21" spans="1:26" s="20" customFormat="1" ht="22.5" x14ac:dyDescent="0.2">
      <c r="A21" s="19" t="s">
        <v>122</v>
      </c>
      <c r="B21" s="19" t="s">
        <v>122</v>
      </c>
      <c r="C21" s="19" t="s">
        <v>123</v>
      </c>
      <c r="D21" s="20" t="str">
        <f>"'"&amp;"--"&amp;"'"</f>
        <v>'--'</v>
      </c>
      <c r="E21" s="19"/>
      <c r="F21" s="19">
        <v>2</v>
      </c>
      <c r="G21" s="19"/>
      <c r="H21" s="19"/>
      <c r="I21" s="19"/>
      <c r="J21" s="26" t="s">
        <v>96</v>
      </c>
      <c r="K21" s="27">
        <v>2</v>
      </c>
      <c r="L21" s="27"/>
      <c r="M21" s="27"/>
      <c r="N21" s="27"/>
      <c r="O21" s="27" t="s">
        <v>9</v>
      </c>
      <c r="P21" s="60" t="str">
        <f>"'"&amp;"--"&amp;"'"</f>
        <v>'--'</v>
      </c>
      <c r="Q21" s="28" t="s">
        <v>84</v>
      </c>
      <c r="R21" s="29" t="s">
        <v>85</v>
      </c>
      <c r="S21" s="27" t="s">
        <v>86</v>
      </c>
      <c r="T21" s="29" t="s">
        <v>124</v>
      </c>
      <c r="U21" s="30" t="s">
        <v>125</v>
      </c>
      <c r="V21" s="28" t="s">
        <v>88</v>
      </c>
      <c r="W21" s="29" t="s">
        <v>85</v>
      </c>
      <c r="X21" s="27" t="s">
        <v>120</v>
      </c>
      <c r="Y21" s="29" t="s">
        <v>126</v>
      </c>
      <c r="Z21" s="30" t="s">
        <v>125</v>
      </c>
    </row>
    <row r="22" spans="1:26" s="20" customFormat="1" ht="11.25" x14ac:dyDescent="0.2">
      <c r="A22" s="19" t="s">
        <v>127</v>
      </c>
      <c r="B22" s="19" t="s">
        <v>127</v>
      </c>
      <c r="C22" s="19" t="s">
        <v>128</v>
      </c>
      <c r="D22" s="20" t="str">
        <f>"'"&amp;"Missing Data"&amp;"'"</f>
        <v>'Missing Data'</v>
      </c>
      <c r="E22" s="19"/>
      <c r="F22" s="19">
        <v>2</v>
      </c>
      <c r="G22" s="19"/>
      <c r="H22" s="19" t="s">
        <v>129</v>
      </c>
      <c r="I22" s="19"/>
      <c r="J22" s="26" t="s">
        <v>93</v>
      </c>
      <c r="K22" s="27">
        <v>53</v>
      </c>
      <c r="L22" s="27"/>
      <c r="M22" s="27"/>
      <c r="N22" s="27"/>
      <c r="O22" s="27" t="s">
        <v>81</v>
      </c>
      <c r="P22" s="53"/>
      <c r="Q22" s="28"/>
      <c r="R22" s="29"/>
      <c r="S22" s="27"/>
      <c r="T22" s="29"/>
      <c r="U22" s="30"/>
      <c r="V22" s="28"/>
      <c r="W22" s="29"/>
      <c r="X22" s="27"/>
      <c r="Y22" s="29"/>
      <c r="Z22" s="30"/>
    </row>
    <row r="23" spans="1:26" s="20" customFormat="1" ht="22.5" x14ac:dyDescent="0.2">
      <c r="A23" s="19" t="s">
        <v>130</v>
      </c>
      <c r="B23" s="19" t="s">
        <v>131</v>
      </c>
      <c r="C23" s="19" t="s">
        <v>132</v>
      </c>
      <c r="D23" s="20">
        <v>1</v>
      </c>
      <c r="E23" s="19"/>
      <c r="F23" s="19"/>
      <c r="G23" s="19"/>
      <c r="H23" s="19" t="s">
        <v>133</v>
      </c>
      <c r="I23" s="19"/>
      <c r="J23" s="26" t="s">
        <v>134</v>
      </c>
      <c r="K23" s="27"/>
      <c r="L23" s="27"/>
      <c r="M23" s="27"/>
      <c r="N23" s="27"/>
      <c r="O23" s="27" t="s">
        <v>81</v>
      </c>
      <c r="P23" s="53"/>
      <c r="Q23" s="28"/>
      <c r="R23" s="29"/>
      <c r="S23" s="27"/>
      <c r="T23" s="29"/>
      <c r="U23" s="30"/>
      <c r="V23" s="28"/>
      <c r="W23" s="29"/>
      <c r="X23" s="27"/>
      <c r="Y23" s="29"/>
      <c r="Z23" s="30"/>
    </row>
    <row r="24" spans="1:26" s="20" customFormat="1" ht="22.5" x14ac:dyDescent="0.2">
      <c r="A24" s="19" t="s">
        <v>135</v>
      </c>
      <c r="B24" s="19" t="s">
        <v>136</v>
      </c>
      <c r="C24" s="19" t="s">
        <v>137</v>
      </c>
      <c r="D24" s="31" t="str">
        <f>"'"&amp;"1/1/1970"&amp;"'"</f>
        <v>'1/1/1970'</v>
      </c>
      <c r="E24" s="19"/>
      <c r="F24" s="19"/>
      <c r="G24" s="19"/>
      <c r="H24" s="19" t="s">
        <v>133</v>
      </c>
      <c r="I24" s="19"/>
      <c r="J24" s="26" t="s">
        <v>138</v>
      </c>
      <c r="K24" s="27"/>
      <c r="L24" s="27"/>
      <c r="M24" s="27"/>
      <c r="N24" s="27"/>
      <c r="O24" s="27" t="s">
        <v>81</v>
      </c>
      <c r="P24" s="53" t="s">
        <v>139</v>
      </c>
      <c r="Q24" s="28"/>
      <c r="R24" s="29"/>
      <c r="S24" s="27"/>
      <c r="T24" s="29"/>
      <c r="U24" s="30"/>
      <c r="V24" s="28"/>
      <c r="W24" s="29"/>
      <c r="X24" s="27"/>
      <c r="Y24" s="29"/>
      <c r="Z24" s="30"/>
    </row>
    <row r="25" spans="1:26" s="20" customFormat="1" ht="22.5" x14ac:dyDescent="0.2">
      <c r="A25" s="19" t="s">
        <v>140</v>
      </c>
      <c r="B25" s="19" t="s">
        <v>141</v>
      </c>
      <c r="C25" s="19" t="s">
        <v>142</v>
      </c>
      <c r="D25" s="31" t="str">
        <f>"'"&amp;"12/31/9999"&amp;"'"</f>
        <v>'12/31/9999'</v>
      </c>
      <c r="E25" s="19"/>
      <c r="F25" s="19"/>
      <c r="G25" s="19"/>
      <c r="H25" s="19" t="s">
        <v>133</v>
      </c>
      <c r="I25" s="19"/>
      <c r="J25" s="26" t="s">
        <v>138</v>
      </c>
      <c r="K25" s="27"/>
      <c r="L25" s="27"/>
      <c r="M25" s="27"/>
      <c r="N25" s="27"/>
      <c r="O25" s="27" t="s">
        <v>81</v>
      </c>
      <c r="P25" s="53" t="s">
        <v>143</v>
      </c>
      <c r="Q25" s="28"/>
      <c r="R25" s="29"/>
      <c r="S25" s="27"/>
      <c r="T25" s="29"/>
      <c r="U25" s="30"/>
      <c r="V25" s="28"/>
      <c r="W25" s="29"/>
      <c r="X25" s="27"/>
      <c r="Y25" s="29"/>
      <c r="Z25" s="30"/>
    </row>
    <row r="26" spans="1:26" s="20" customFormat="1" ht="11.25" x14ac:dyDescent="0.2">
      <c r="A26" s="19" t="s">
        <v>144</v>
      </c>
      <c r="B26" s="19" t="s">
        <v>145</v>
      </c>
      <c r="C26" s="19" t="s">
        <v>146</v>
      </c>
      <c r="D26" s="20" t="str">
        <f>"'"&amp;"Missing Data"&amp;"'"</f>
        <v>'Missing Data'</v>
      </c>
      <c r="E26" s="19"/>
      <c r="F26" s="19"/>
      <c r="G26" s="19"/>
      <c r="H26" s="19" t="s">
        <v>133</v>
      </c>
      <c r="I26" s="19"/>
      <c r="J26" s="26" t="s">
        <v>93</v>
      </c>
      <c r="K26" s="27">
        <v>50</v>
      </c>
      <c r="L26" s="27"/>
      <c r="M26" s="27"/>
      <c r="N26" s="27"/>
      <c r="O26" s="27" t="s">
        <v>9</v>
      </c>
      <c r="P26" s="53"/>
      <c r="Q26" s="28"/>
      <c r="R26" s="29"/>
      <c r="S26" s="27"/>
      <c r="T26" s="29"/>
      <c r="U26" s="30"/>
      <c r="V26" s="28"/>
      <c r="W26" s="29"/>
      <c r="X26" s="27"/>
      <c r="Y26" s="29"/>
      <c r="Z26" s="30"/>
    </row>
  </sheetData>
  <dataConsolidate/>
  <mergeCells count="3">
    <mergeCell ref="J11:P11"/>
    <mergeCell ref="Q11:U11"/>
    <mergeCell ref="V11:Z11"/>
  </mergeCells>
  <phoneticPr fontId="2" type="noConversion"/>
  <dataValidations count="2">
    <dataValidation type="list" allowBlank="1" showInputMessage="1" showErrorMessage="1" sqref="B9" xr:uid="{D4542F34-E97A-486D-AB8D-62119C38B9E6}">
      <formula1>"Y, N"</formula1>
    </dataValidation>
    <dataValidation type="list" allowBlank="1" showInputMessage="1" showErrorMessage="1" promptTitle="Table Type" prompt="Dimension, Fact, or Audit" sqref="B2" xr:uid="{53E4DA2E-FAE3-4538-A764-7D3153443690}">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1"/>
  <sheetViews>
    <sheetView zoomScale="145" zoomScaleNormal="145" zoomScaleSheetLayoutView="100" workbookViewId="0">
      <pane xSplit="2" ySplit="12" topLeftCell="J13" activePane="bottomRight" state="frozenSplit"/>
      <selection pane="topRight" activeCell="C1" sqref="C1"/>
      <selection pane="bottomLeft" activeCell="A13" sqref="A13"/>
      <selection pane="bottomRight" activeCell="B13" sqref="B13"/>
    </sheetView>
  </sheetViews>
  <sheetFormatPr defaultColWidth="9.140625" defaultRowHeight="12.75" x14ac:dyDescent="0.2"/>
  <cols>
    <col min="1" max="1" width="20.42578125" style="8" customWidth="1"/>
    <col min="2" max="2" width="35.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1.5703125" style="8" customWidth="1"/>
    <col min="18" max="18" width="12" style="8" bestFit="1" customWidth="1"/>
    <col min="19" max="19" width="13.7109375" style="8" bestFit="1" customWidth="1"/>
    <col min="20" max="20" width="14.85546875" style="8" bestFit="1" customWidth="1"/>
    <col min="21" max="21" width="11.28515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42</v>
      </c>
      <c r="B1" s="7" t="s">
        <v>147</v>
      </c>
      <c r="C1"/>
      <c r="E1" s="4"/>
      <c r="F1" s="4"/>
      <c r="G1"/>
    </row>
    <row r="2" spans="1:26" customFormat="1" x14ac:dyDescent="0.2">
      <c r="A2" s="23" t="s">
        <v>44</v>
      </c>
      <c r="B2" s="17" t="s">
        <v>45</v>
      </c>
      <c r="E2" s="2"/>
      <c r="F2" s="2"/>
    </row>
    <row r="3" spans="1:26" x14ac:dyDescent="0.2">
      <c r="A3" s="24" t="s">
        <v>46</v>
      </c>
      <c r="B3" s="17" t="s">
        <v>147</v>
      </c>
    </row>
    <row r="4" spans="1:26" x14ac:dyDescent="0.2">
      <c r="A4" s="24" t="s">
        <v>47</v>
      </c>
    </row>
    <row r="5" spans="1:26" customFormat="1" x14ac:dyDescent="0.2">
      <c r="A5" s="23" t="s">
        <v>48</v>
      </c>
      <c r="B5" s="17" t="s">
        <v>148</v>
      </c>
      <c r="E5" s="2"/>
      <c r="F5" s="2"/>
      <c r="H5" s="8"/>
    </row>
    <row r="6" spans="1:26" customFormat="1" x14ac:dyDescent="0.2">
      <c r="A6" s="23" t="s">
        <v>50</v>
      </c>
      <c r="B6" s="17"/>
      <c r="E6" s="2"/>
      <c r="F6" s="2"/>
    </row>
    <row r="7" spans="1:26" customFormat="1" x14ac:dyDescent="0.2">
      <c r="A7" s="25" t="s">
        <v>51</v>
      </c>
      <c r="B7" s="8"/>
      <c r="E7" s="2"/>
      <c r="F7" s="2"/>
    </row>
    <row r="8" spans="1:26" customFormat="1" x14ac:dyDescent="0.2">
      <c r="A8" s="25" t="s">
        <v>52</v>
      </c>
      <c r="B8" s="17" t="s">
        <v>149</v>
      </c>
      <c r="E8" s="2"/>
      <c r="F8" s="2"/>
    </row>
    <row r="9" spans="1:26" customFormat="1" x14ac:dyDescent="0.2">
      <c r="A9" s="23" t="s">
        <v>54</v>
      </c>
      <c r="B9" s="32" t="s">
        <v>9</v>
      </c>
      <c r="C9" s="64"/>
      <c r="E9" s="2"/>
      <c r="F9" s="2"/>
      <c r="G9" s="64"/>
    </row>
    <row r="11" spans="1:26" s="21" customFormat="1" ht="13.5" customHeight="1" x14ac:dyDescent="0.2">
      <c r="A11" s="65"/>
      <c r="B11" s="65"/>
      <c r="C11" s="65"/>
      <c r="D11" s="65"/>
      <c r="E11" s="40"/>
      <c r="F11" s="40"/>
      <c r="G11" s="65"/>
      <c r="H11" s="39"/>
      <c r="I11" s="66"/>
      <c r="J11" s="78" t="s">
        <v>55</v>
      </c>
      <c r="K11" s="79"/>
      <c r="L11" s="79"/>
      <c r="M11" s="79"/>
      <c r="N11" s="79"/>
      <c r="O11" s="79"/>
      <c r="P11" s="80"/>
      <c r="Q11" s="81" t="s">
        <v>56</v>
      </c>
      <c r="R11" s="82"/>
      <c r="S11" s="82"/>
      <c r="T11" s="82"/>
      <c r="U11" s="83"/>
      <c r="V11" s="81" t="s">
        <v>57</v>
      </c>
      <c r="W11" s="82"/>
      <c r="X11" s="82"/>
      <c r="Y11" s="82"/>
      <c r="Z11" s="83"/>
    </row>
    <row r="12" spans="1:26" s="21" customFormat="1" ht="26.25" customHeight="1" x14ac:dyDescent="0.2">
      <c r="A12" s="40" t="s">
        <v>58</v>
      </c>
      <c r="B12" s="40" t="s">
        <v>46</v>
      </c>
      <c r="C12" s="40" t="s">
        <v>23</v>
      </c>
      <c r="D12" s="40" t="s">
        <v>59</v>
      </c>
      <c r="E12" s="40" t="s">
        <v>60</v>
      </c>
      <c r="F12" s="40" t="s">
        <v>61</v>
      </c>
      <c r="G12" s="40" t="s">
        <v>62</v>
      </c>
      <c r="H12" s="40" t="s">
        <v>63</v>
      </c>
      <c r="I12" s="40" t="s">
        <v>64</v>
      </c>
      <c r="J12" s="67" t="s">
        <v>65</v>
      </c>
      <c r="K12" s="65" t="s">
        <v>52</v>
      </c>
      <c r="L12" s="65" t="s">
        <v>66</v>
      </c>
      <c r="M12" s="65" t="s">
        <v>67</v>
      </c>
      <c r="N12" s="65" t="s">
        <v>68</v>
      </c>
      <c r="O12" s="65" t="s">
        <v>69</v>
      </c>
      <c r="P12" s="68" t="s">
        <v>70</v>
      </c>
      <c r="Q12" s="69" t="s">
        <v>71</v>
      </c>
      <c r="R12" s="65" t="s">
        <v>72</v>
      </c>
      <c r="S12" s="65" t="s">
        <v>73</v>
      </c>
      <c r="T12" s="65" t="s">
        <v>74</v>
      </c>
      <c r="U12" s="68" t="s">
        <v>75</v>
      </c>
      <c r="V12" s="69" t="s">
        <v>71</v>
      </c>
      <c r="W12" s="65" t="s">
        <v>72</v>
      </c>
      <c r="X12" s="65" t="s">
        <v>73</v>
      </c>
      <c r="Y12" s="65" t="s">
        <v>74</v>
      </c>
      <c r="Z12" s="68" t="s">
        <v>75</v>
      </c>
    </row>
    <row r="13" spans="1:26" s="20" customFormat="1" ht="11.25" x14ac:dyDescent="0.2">
      <c r="A13" s="19" t="s">
        <v>150</v>
      </c>
      <c r="B13" s="19" t="s">
        <v>150</v>
      </c>
      <c r="C13" s="19" t="s">
        <v>77</v>
      </c>
      <c r="D13" s="20">
        <v>-1</v>
      </c>
      <c r="E13" s="19"/>
      <c r="F13" s="19" t="s">
        <v>78</v>
      </c>
      <c r="G13" s="19"/>
      <c r="H13" s="19"/>
      <c r="I13" s="19"/>
      <c r="J13" s="26" t="s">
        <v>79</v>
      </c>
      <c r="K13" s="27"/>
      <c r="L13" s="27"/>
      <c r="M13" s="27" t="s">
        <v>80</v>
      </c>
      <c r="N13" s="27"/>
      <c r="O13" s="27" t="s">
        <v>81</v>
      </c>
      <c r="P13" s="53"/>
      <c r="Q13" s="28"/>
      <c r="R13" s="29"/>
      <c r="S13" s="27"/>
      <c r="T13" s="29"/>
      <c r="U13" s="30"/>
      <c r="V13" s="28"/>
      <c r="W13" s="29"/>
      <c r="X13" s="27"/>
      <c r="Y13" s="29"/>
      <c r="Z13" s="30"/>
    </row>
    <row r="14" spans="1:26" s="20" customFormat="1" ht="11.25" x14ac:dyDescent="0.2">
      <c r="A14" s="19" t="s">
        <v>151</v>
      </c>
      <c r="B14" s="19" t="s">
        <v>151</v>
      </c>
      <c r="C14" s="19" t="s">
        <v>83</v>
      </c>
      <c r="D14" s="20">
        <v>-1</v>
      </c>
      <c r="E14" s="19"/>
      <c r="F14" s="19" t="s">
        <v>78</v>
      </c>
      <c r="G14" s="19"/>
      <c r="H14" s="19"/>
      <c r="I14" s="19"/>
      <c r="J14" s="26" t="s">
        <v>79</v>
      </c>
      <c r="K14" s="27"/>
      <c r="L14" s="27"/>
      <c r="M14" s="27"/>
      <c r="N14" s="27"/>
      <c r="O14" s="27" t="s">
        <v>81</v>
      </c>
      <c r="P14" s="53"/>
      <c r="Q14" s="28" t="s">
        <v>84</v>
      </c>
      <c r="R14" s="29" t="s">
        <v>85</v>
      </c>
      <c r="S14" s="27" t="s">
        <v>152</v>
      </c>
      <c r="T14" s="29" t="s">
        <v>153</v>
      </c>
      <c r="U14" s="30" t="s">
        <v>79</v>
      </c>
      <c r="V14" s="28" t="s">
        <v>88</v>
      </c>
      <c r="W14" s="29" t="s">
        <v>85</v>
      </c>
      <c r="X14" s="27" t="s">
        <v>154</v>
      </c>
      <c r="Y14" s="29" t="s">
        <v>155</v>
      </c>
      <c r="Z14" s="30" t="s">
        <v>79</v>
      </c>
    </row>
    <row r="15" spans="1:26" s="20" customFormat="1" ht="11.25" x14ac:dyDescent="0.2">
      <c r="A15" s="19" t="s">
        <v>91</v>
      </c>
      <c r="B15" s="19" t="s">
        <v>91</v>
      </c>
      <c r="C15" s="19" t="s">
        <v>92</v>
      </c>
      <c r="D15" s="20" t="str">
        <f>"'"&amp;"---"&amp;"'"</f>
        <v>'---'</v>
      </c>
      <c r="E15" s="19"/>
      <c r="F15" s="19" t="s">
        <v>78</v>
      </c>
      <c r="G15" s="19"/>
      <c r="H15" s="19"/>
      <c r="I15" s="19"/>
      <c r="J15" s="26" t="s">
        <v>93</v>
      </c>
      <c r="K15" s="27">
        <v>3</v>
      </c>
      <c r="L15" s="27"/>
      <c r="M15" s="27"/>
      <c r="N15" s="27"/>
      <c r="O15" s="27" t="s">
        <v>81</v>
      </c>
      <c r="P15" s="53"/>
      <c r="Q15" s="28"/>
      <c r="R15" s="27"/>
      <c r="S15" s="27"/>
      <c r="T15" s="54"/>
      <c r="U15" s="53"/>
      <c r="V15" s="28"/>
      <c r="W15" s="29"/>
      <c r="X15" s="27"/>
      <c r="Y15" s="54"/>
      <c r="Z15" s="53"/>
    </row>
    <row r="16" spans="1:26" s="20" customFormat="1" ht="22.5" x14ac:dyDescent="0.2">
      <c r="A16" s="19" t="s">
        <v>156</v>
      </c>
      <c r="B16" s="19" t="s">
        <v>156</v>
      </c>
      <c r="C16" s="19" t="s">
        <v>157</v>
      </c>
      <c r="D16" s="20" t="str">
        <f t="shared" ref="D16" si="0">"'"&amp;"Missing Data"&amp;"'"</f>
        <v>'Missing Data'</v>
      </c>
      <c r="E16" s="19"/>
      <c r="F16" s="19">
        <v>2</v>
      </c>
      <c r="G16" s="19"/>
      <c r="H16" s="19"/>
      <c r="I16" s="19"/>
      <c r="J16" s="26" t="s">
        <v>96</v>
      </c>
      <c r="K16" s="27">
        <v>50</v>
      </c>
      <c r="L16" s="27"/>
      <c r="M16" s="27"/>
      <c r="N16" s="27"/>
      <c r="O16" s="27" t="s">
        <v>81</v>
      </c>
      <c r="P16" s="53"/>
      <c r="Q16" s="28" t="s">
        <v>84</v>
      </c>
      <c r="R16" s="29" t="s">
        <v>85</v>
      </c>
      <c r="S16" s="27" t="s">
        <v>152</v>
      </c>
      <c r="T16" s="29" t="s">
        <v>158</v>
      </c>
      <c r="U16" s="30" t="s">
        <v>119</v>
      </c>
      <c r="V16" s="28" t="s">
        <v>88</v>
      </c>
      <c r="W16" s="29" t="s">
        <v>85</v>
      </c>
      <c r="X16" s="27" t="s">
        <v>154</v>
      </c>
      <c r="Y16" s="29" t="s">
        <v>159</v>
      </c>
      <c r="Z16" s="30" t="s">
        <v>119</v>
      </c>
    </row>
    <row r="17" spans="1:26" s="20" customFormat="1" ht="11.25" x14ac:dyDescent="0.2">
      <c r="A17" s="19" t="s">
        <v>160</v>
      </c>
      <c r="B17" s="19" t="s">
        <v>160</v>
      </c>
      <c r="C17" s="19" t="s">
        <v>161</v>
      </c>
      <c r="D17" s="20">
        <v>1</v>
      </c>
      <c r="E17" s="19"/>
      <c r="F17" s="19">
        <v>2</v>
      </c>
      <c r="G17" s="19"/>
      <c r="H17" s="19"/>
      <c r="I17" s="19"/>
      <c r="J17" s="26" t="s">
        <v>134</v>
      </c>
      <c r="K17" s="27"/>
      <c r="L17" s="27"/>
      <c r="M17" s="27"/>
      <c r="N17" s="27"/>
      <c r="O17" s="27" t="s">
        <v>81</v>
      </c>
      <c r="P17" s="53"/>
      <c r="Q17" s="28" t="s">
        <v>84</v>
      </c>
      <c r="R17" s="29" t="s">
        <v>85</v>
      </c>
      <c r="S17" s="27" t="s">
        <v>152</v>
      </c>
      <c r="T17" s="29" t="s">
        <v>162</v>
      </c>
      <c r="U17" s="30" t="s">
        <v>134</v>
      </c>
      <c r="V17" s="28" t="s">
        <v>88</v>
      </c>
      <c r="W17" s="29" t="s">
        <v>85</v>
      </c>
      <c r="X17" s="27" t="s">
        <v>154</v>
      </c>
      <c r="Y17" s="29" t="s">
        <v>163</v>
      </c>
      <c r="Z17" s="30" t="s">
        <v>134</v>
      </c>
    </row>
    <row r="18" spans="1:26" ht="22.5" x14ac:dyDescent="0.2">
      <c r="A18" s="62" t="s">
        <v>130</v>
      </c>
      <c r="B18" s="62" t="s">
        <v>131</v>
      </c>
      <c r="C18" s="61" t="s">
        <v>132</v>
      </c>
      <c r="D18" s="62">
        <v>1</v>
      </c>
      <c r="E18" s="61"/>
      <c r="F18" s="61"/>
      <c r="G18" s="61"/>
      <c r="H18" s="61" t="s">
        <v>133</v>
      </c>
      <c r="J18" s="26" t="s">
        <v>134</v>
      </c>
      <c r="K18" s="27"/>
      <c r="L18" s="27"/>
      <c r="M18" s="27"/>
      <c r="N18" s="27"/>
      <c r="O18" s="27" t="s">
        <v>81</v>
      </c>
      <c r="P18" s="53"/>
      <c r="Q18" s="28"/>
      <c r="R18" s="29"/>
      <c r="S18" s="27"/>
      <c r="T18" s="29"/>
      <c r="U18" s="30"/>
      <c r="V18" s="28"/>
      <c r="W18" s="29"/>
      <c r="X18" s="27"/>
      <c r="Y18" s="29"/>
      <c r="Z18" s="30"/>
    </row>
    <row r="19" spans="1:26" ht="22.5" x14ac:dyDescent="0.2">
      <c r="A19" s="61" t="s">
        <v>135</v>
      </c>
      <c r="B19" s="61" t="s">
        <v>136</v>
      </c>
      <c r="C19" s="61" t="s">
        <v>137</v>
      </c>
      <c r="D19" s="31" t="str">
        <f>"'"&amp;"1/1/1970"&amp;"'"</f>
        <v>'1/1/1970'</v>
      </c>
      <c r="E19" s="63"/>
      <c r="F19" s="61"/>
      <c r="G19" s="61"/>
      <c r="H19" s="61" t="s">
        <v>133</v>
      </c>
      <c r="J19" s="26" t="s">
        <v>138</v>
      </c>
      <c r="K19" s="27"/>
      <c r="L19" s="27"/>
      <c r="M19" s="27"/>
      <c r="N19" s="27"/>
      <c r="O19" s="27" t="s">
        <v>81</v>
      </c>
      <c r="P19" s="53" t="s">
        <v>139</v>
      </c>
      <c r="Q19" s="28"/>
      <c r="R19" s="29"/>
      <c r="S19" s="27"/>
      <c r="T19" s="29"/>
      <c r="U19" s="30"/>
      <c r="V19" s="28"/>
      <c r="W19" s="29"/>
      <c r="X19" s="27"/>
      <c r="Y19" s="29"/>
      <c r="Z19" s="30"/>
    </row>
    <row r="20" spans="1:26" ht="22.5" x14ac:dyDescent="0.2">
      <c r="A20" s="61" t="s">
        <v>140</v>
      </c>
      <c r="B20" s="61" t="s">
        <v>141</v>
      </c>
      <c r="C20" s="61" t="s">
        <v>142</v>
      </c>
      <c r="D20" s="31" t="str">
        <f>"'"&amp;"12/31/9999"&amp;"'"</f>
        <v>'12/31/9999'</v>
      </c>
      <c r="E20" s="61"/>
      <c r="F20" s="61"/>
      <c r="G20" s="61"/>
      <c r="H20" s="61" t="s">
        <v>133</v>
      </c>
      <c r="J20" s="26" t="s">
        <v>138</v>
      </c>
      <c r="K20" s="27"/>
      <c r="L20" s="27"/>
      <c r="M20" s="27"/>
      <c r="N20" s="27"/>
      <c r="O20" s="27" t="s">
        <v>81</v>
      </c>
      <c r="P20" s="53" t="s">
        <v>143</v>
      </c>
      <c r="Q20" s="28"/>
      <c r="R20" s="29"/>
      <c r="S20" s="27"/>
      <c r="T20" s="29"/>
      <c r="U20" s="30"/>
      <c r="V20" s="28"/>
      <c r="W20" s="29"/>
      <c r="X20" s="27"/>
      <c r="Y20" s="29"/>
      <c r="Z20" s="30"/>
    </row>
    <row r="21" spans="1:26" x14ac:dyDescent="0.2">
      <c r="A21" s="61" t="s">
        <v>144</v>
      </c>
      <c r="B21" s="61" t="s">
        <v>145</v>
      </c>
      <c r="C21" s="61" t="s">
        <v>146</v>
      </c>
      <c r="D21" s="62" t="str">
        <f>"'"&amp;"Missing Data"&amp;"'"</f>
        <v>'Missing Data'</v>
      </c>
      <c r="E21" s="61"/>
      <c r="F21" s="61"/>
      <c r="G21" s="61"/>
      <c r="H21" s="61" t="s">
        <v>133</v>
      </c>
      <c r="J21" s="26" t="s">
        <v>93</v>
      </c>
      <c r="K21" s="27">
        <v>50</v>
      </c>
      <c r="L21" s="27"/>
      <c r="M21" s="27"/>
      <c r="N21" s="27"/>
      <c r="O21" s="27" t="s">
        <v>9</v>
      </c>
      <c r="P21" s="53"/>
      <c r="Q21" s="28"/>
      <c r="R21" s="29"/>
      <c r="S21" s="27"/>
      <c r="T21" s="29"/>
      <c r="U21" s="30"/>
      <c r="V21" s="28"/>
      <c r="W21" s="29"/>
      <c r="X21" s="27"/>
      <c r="Y21" s="29"/>
      <c r="Z21" s="30"/>
    </row>
  </sheetData>
  <dataConsolidate/>
  <mergeCells count="3">
    <mergeCell ref="J11:P11"/>
    <mergeCell ref="V11:Z11"/>
    <mergeCell ref="Q11:U11"/>
  </mergeCells>
  <phoneticPr fontId="2" type="noConversion"/>
  <dataValidations count="2">
    <dataValidation type="list" allowBlank="1" showInputMessage="1" showErrorMessage="1" promptTitle="Table Type" prompt="Dimension, Fact, or Audit" sqref="B2" xr:uid="{5819417B-5987-4858-974F-8F518DF9A49D}">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22" t="s">
        <v>42</v>
      </c>
      <c r="B1" s="7" t="s">
        <v>164</v>
      </c>
      <c r="C1"/>
      <c r="E1" s="4"/>
      <c r="F1" s="4"/>
      <c r="G1"/>
    </row>
    <row r="2" spans="1:21" customFormat="1" x14ac:dyDescent="0.2">
      <c r="A2" s="23" t="s">
        <v>44</v>
      </c>
      <c r="B2" s="17" t="s">
        <v>45</v>
      </c>
      <c r="E2" s="2"/>
      <c r="F2" s="2"/>
    </row>
    <row r="3" spans="1:21" x14ac:dyDescent="0.2">
      <c r="A3" s="24" t="s">
        <v>46</v>
      </c>
      <c r="B3" s="17" t="s">
        <v>165</v>
      </c>
    </row>
    <row r="4" spans="1:21" x14ac:dyDescent="0.2">
      <c r="A4" s="24" t="s">
        <v>47</v>
      </c>
    </row>
    <row r="5" spans="1:21" customFormat="1" x14ac:dyDescent="0.2">
      <c r="A5" s="23" t="s">
        <v>48</v>
      </c>
      <c r="B5" s="17" t="s">
        <v>166</v>
      </c>
      <c r="E5" s="2"/>
      <c r="F5" s="2"/>
      <c r="H5" s="8"/>
    </row>
    <row r="6" spans="1:21" customFormat="1" x14ac:dyDescent="0.2">
      <c r="A6" s="23" t="s">
        <v>50</v>
      </c>
      <c r="B6" s="17" t="s">
        <v>167</v>
      </c>
      <c r="E6" s="2"/>
      <c r="F6" s="2"/>
    </row>
    <row r="7" spans="1:21" customFormat="1" x14ac:dyDescent="0.2">
      <c r="A7" s="25" t="s">
        <v>51</v>
      </c>
      <c r="B7" s="8"/>
      <c r="E7" s="2"/>
      <c r="F7" s="2"/>
    </row>
    <row r="8" spans="1:21" customFormat="1" x14ac:dyDescent="0.2">
      <c r="A8" s="25" t="s">
        <v>52</v>
      </c>
      <c r="B8" s="17"/>
      <c r="E8" s="2"/>
      <c r="F8" s="2"/>
    </row>
    <row r="9" spans="1:21" customFormat="1" x14ac:dyDescent="0.2">
      <c r="A9" s="23" t="s">
        <v>54</v>
      </c>
      <c r="B9" s="32" t="s">
        <v>81</v>
      </c>
      <c r="C9" s="64"/>
      <c r="E9" s="2"/>
      <c r="F9" s="2"/>
      <c r="G9" s="64"/>
    </row>
    <row r="11" spans="1:21" s="21" customFormat="1" ht="13.5" customHeight="1" x14ac:dyDescent="0.2">
      <c r="A11" s="65"/>
      <c r="B11" s="65"/>
      <c r="C11" s="65"/>
      <c r="D11" s="65"/>
      <c r="E11" s="40"/>
      <c r="F11" s="40"/>
      <c r="G11" s="65"/>
      <c r="H11" s="39"/>
      <c r="I11" s="66"/>
      <c r="J11" s="78" t="s">
        <v>55</v>
      </c>
      <c r="K11" s="79"/>
      <c r="L11" s="79"/>
      <c r="M11" s="79"/>
      <c r="N11" s="79"/>
      <c r="O11" s="79"/>
      <c r="P11" s="80"/>
      <c r="Q11" s="81" t="s">
        <v>168</v>
      </c>
      <c r="R11" s="82"/>
      <c r="S11" s="82"/>
      <c r="T11" s="82"/>
      <c r="U11" s="83"/>
    </row>
    <row r="12" spans="1:21" s="21" customFormat="1" ht="26.25" customHeight="1" x14ac:dyDescent="0.2">
      <c r="A12" s="40" t="s">
        <v>58</v>
      </c>
      <c r="B12" s="40" t="s">
        <v>46</v>
      </c>
      <c r="C12" s="40" t="s">
        <v>23</v>
      </c>
      <c r="D12" s="40" t="s">
        <v>59</v>
      </c>
      <c r="E12" s="40" t="s">
        <v>60</v>
      </c>
      <c r="F12" s="40" t="s">
        <v>61</v>
      </c>
      <c r="G12" s="40" t="s">
        <v>62</v>
      </c>
      <c r="H12" s="40" t="s">
        <v>63</v>
      </c>
      <c r="I12" s="40" t="s">
        <v>64</v>
      </c>
      <c r="J12" s="67" t="s">
        <v>65</v>
      </c>
      <c r="K12" s="65" t="s">
        <v>52</v>
      </c>
      <c r="L12" s="65" t="s">
        <v>66</v>
      </c>
      <c r="M12" s="65" t="s">
        <v>67</v>
      </c>
      <c r="N12" s="65" t="s">
        <v>68</v>
      </c>
      <c r="O12" s="65" t="s">
        <v>69</v>
      </c>
      <c r="P12" s="68" t="s">
        <v>70</v>
      </c>
      <c r="Q12" s="69" t="s">
        <v>71</v>
      </c>
      <c r="R12" s="65" t="s">
        <v>72</v>
      </c>
      <c r="S12" s="65" t="s">
        <v>73</v>
      </c>
      <c r="T12" s="65" t="s">
        <v>74</v>
      </c>
      <c r="U12" s="68" t="s">
        <v>75</v>
      </c>
    </row>
    <row r="13" spans="1:21" s="5" customFormat="1" ht="11.25" x14ac:dyDescent="0.2">
      <c r="A13" s="19" t="s">
        <v>169</v>
      </c>
      <c r="B13" s="19" t="s">
        <v>170</v>
      </c>
      <c r="C13" s="19" t="s">
        <v>171</v>
      </c>
      <c r="D13" s="20">
        <v>-1</v>
      </c>
      <c r="E13" s="19" t="s">
        <v>172</v>
      </c>
      <c r="F13" s="19" t="s">
        <v>78</v>
      </c>
      <c r="G13" s="19"/>
      <c r="H13" s="19"/>
      <c r="I13" s="19"/>
      <c r="J13" s="26" t="s">
        <v>173</v>
      </c>
      <c r="K13" s="27"/>
      <c r="L13" s="27"/>
      <c r="M13" s="27" t="s">
        <v>80</v>
      </c>
      <c r="N13" s="27"/>
      <c r="O13" s="27" t="s">
        <v>81</v>
      </c>
      <c r="P13" s="53"/>
      <c r="Q13" s="28" t="s">
        <v>174</v>
      </c>
      <c r="R13" s="29"/>
      <c r="S13" s="27"/>
      <c r="T13" s="29"/>
      <c r="U13" s="30"/>
    </row>
    <row r="14" spans="1:21" s="5" customFormat="1" ht="22.5" x14ac:dyDescent="0.2">
      <c r="A14" s="19" t="s">
        <v>175</v>
      </c>
      <c r="B14" s="19" t="s">
        <v>176</v>
      </c>
      <c r="C14" s="19" t="s">
        <v>177</v>
      </c>
      <c r="D14" s="20">
        <v>-1</v>
      </c>
      <c r="E14" s="19"/>
      <c r="F14" s="19" t="s">
        <v>78</v>
      </c>
      <c r="G14" s="19"/>
      <c r="H14" s="19"/>
      <c r="I14" s="19"/>
      <c r="J14" s="26" t="s">
        <v>178</v>
      </c>
      <c r="K14" s="27">
        <v>10</v>
      </c>
      <c r="L14" s="27"/>
      <c r="M14" s="27"/>
      <c r="N14" s="27"/>
      <c r="O14" s="27" t="s">
        <v>81</v>
      </c>
      <c r="P14" s="53"/>
      <c r="Q14" s="28"/>
      <c r="R14" s="29"/>
      <c r="S14" s="27"/>
      <c r="T14" s="29"/>
      <c r="U14" s="30"/>
    </row>
    <row r="15" spans="1:21" s="5" customFormat="1" ht="11.25" x14ac:dyDescent="0.2">
      <c r="A15" s="19" t="s">
        <v>179</v>
      </c>
      <c r="B15" s="19" t="s">
        <v>179</v>
      </c>
      <c r="C15" s="19" t="s">
        <v>180</v>
      </c>
      <c r="D15" s="20" t="s">
        <v>181</v>
      </c>
      <c r="E15" s="19"/>
      <c r="F15" s="19">
        <v>1</v>
      </c>
      <c r="G15" s="19"/>
      <c r="H15" s="19"/>
      <c r="I15" s="19"/>
      <c r="J15" s="26" t="s">
        <v>178</v>
      </c>
      <c r="K15" s="27">
        <v>50</v>
      </c>
      <c r="L15" s="27"/>
      <c r="M15" s="27"/>
      <c r="N15" s="27"/>
      <c r="O15" s="27" t="s">
        <v>81</v>
      </c>
      <c r="P15" s="53"/>
      <c r="Q15" s="28"/>
      <c r="R15" s="29"/>
      <c r="S15" s="27"/>
      <c r="T15" s="29"/>
      <c r="U15" s="30"/>
    </row>
    <row r="16" spans="1:21" s="5" customFormat="1" ht="11.25" x14ac:dyDescent="0.2">
      <c r="A16" s="19" t="s">
        <v>182</v>
      </c>
      <c r="B16" s="19" t="s">
        <v>182</v>
      </c>
      <c r="C16" s="19" t="s">
        <v>180</v>
      </c>
      <c r="D16" s="20" t="s">
        <v>183</v>
      </c>
      <c r="E16" s="19"/>
      <c r="F16" s="19">
        <v>2</v>
      </c>
      <c r="G16" s="19"/>
      <c r="H16" s="19"/>
      <c r="I16" s="19"/>
      <c r="J16" s="26" t="s">
        <v>178</v>
      </c>
      <c r="K16" s="27">
        <v>50</v>
      </c>
      <c r="L16" s="27"/>
      <c r="M16" s="27"/>
      <c r="N16" s="27"/>
      <c r="O16" s="27" t="s">
        <v>81</v>
      </c>
      <c r="P16" s="53"/>
      <c r="Q16" s="28"/>
      <c r="R16" s="29"/>
      <c r="S16" s="27"/>
      <c r="T16" s="29"/>
      <c r="U16" s="30"/>
    </row>
    <row r="17" spans="1:21" s="5" customFormat="1" ht="11.25" x14ac:dyDescent="0.2">
      <c r="A17" s="19" t="s">
        <v>184</v>
      </c>
      <c r="B17" s="19" t="s">
        <v>184</v>
      </c>
      <c r="C17" s="19" t="s">
        <v>180</v>
      </c>
      <c r="D17" s="20" t="s">
        <v>185</v>
      </c>
      <c r="E17" s="19"/>
      <c r="F17" s="19">
        <v>2</v>
      </c>
      <c r="G17" s="19"/>
      <c r="H17" s="19"/>
      <c r="I17" s="19"/>
      <c r="J17" s="26" t="s">
        <v>178</v>
      </c>
      <c r="K17" s="27">
        <v>50</v>
      </c>
      <c r="L17" s="27"/>
      <c r="M17" s="27"/>
      <c r="N17" s="27"/>
      <c r="O17" s="27" t="s">
        <v>81</v>
      </c>
      <c r="P17" s="53"/>
      <c r="Q17" s="28"/>
      <c r="R17" s="29"/>
      <c r="S17" s="27"/>
      <c r="T17" s="29"/>
      <c r="U17" s="30"/>
    </row>
    <row r="18" spans="1:21" s="5" customFormat="1" ht="22.5" x14ac:dyDescent="0.2">
      <c r="A18" s="20" t="s">
        <v>130</v>
      </c>
      <c r="B18" s="20" t="s">
        <v>131</v>
      </c>
      <c r="C18" s="19" t="s">
        <v>132</v>
      </c>
      <c r="D18" s="20" t="s">
        <v>9</v>
      </c>
      <c r="E18" s="19" t="s">
        <v>186</v>
      </c>
      <c r="F18" s="19" t="s">
        <v>187</v>
      </c>
      <c r="G18" s="19" t="s">
        <v>188</v>
      </c>
      <c r="H18" s="19" t="s">
        <v>133</v>
      </c>
      <c r="I18" s="19"/>
      <c r="J18" s="26" t="s">
        <v>189</v>
      </c>
      <c r="K18" s="27">
        <v>1</v>
      </c>
      <c r="L18" s="27"/>
      <c r="M18" s="27"/>
      <c r="N18" s="27"/>
      <c r="O18" s="27" t="s">
        <v>81</v>
      </c>
      <c r="P18" s="53"/>
      <c r="Q18" s="28" t="s">
        <v>174</v>
      </c>
      <c r="R18" s="29"/>
      <c r="S18" s="27"/>
      <c r="T18" s="27"/>
      <c r="U18" s="53"/>
    </row>
    <row r="19" spans="1:21" s="5" customFormat="1" ht="22.5" x14ac:dyDescent="0.2">
      <c r="A19" s="19" t="s">
        <v>135</v>
      </c>
      <c r="B19" s="19" t="s">
        <v>136</v>
      </c>
      <c r="C19" s="19" t="s">
        <v>137</v>
      </c>
      <c r="D19" s="31">
        <v>1</v>
      </c>
      <c r="E19" s="70">
        <v>40567</v>
      </c>
      <c r="F19" s="19" t="s">
        <v>187</v>
      </c>
      <c r="G19" s="19" t="s">
        <v>188</v>
      </c>
      <c r="H19" s="19" t="s">
        <v>133</v>
      </c>
      <c r="I19" s="19"/>
      <c r="J19" s="26" t="s">
        <v>190</v>
      </c>
      <c r="K19" s="27"/>
      <c r="L19" s="27"/>
      <c r="M19" s="27"/>
      <c r="N19" s="27"/>
      <c r="O19" s="27" t="s">
        <v>81</v>
      </c>
      <c r="P19" s="53"/>
      <c r="Q19" s="28" t="s">
        <v>174</v>
      </c>
      <c r="R19" s="29"/>
      <c r="S19" s="27"/>
      <c r="T19" s="27"/>
      <c r="U19" s="53"/>
    </row>
    <row r="20" spans="1:21" s="5" customFormat="1" ht="22.5" x14ac:dyDescent="0.2">
      <c r="A20" s="19" t="s">
        <v>140</v>
      </c>
      <c r="B20" s="19" t="s">
        <v>141</v>
      </c>
      <c r="C20" s="19" t="s">
        <v>142</v>
      </c>
      <c r="D20" s="31">
        <v>2958465</v>
      </c>
      <c r="E20" s="19" t="s">
        <v>191</v>
      </c>
      <c r="F20" s="19" t="s">
        <v>187</v>
      </c>
      <c r="G20" s="19" t="s">
        <v>188</v>
      </c>
      <c r="H20" s="19" t="s">
        <v>133</v>
      </c>
      <c r="I20" s="19"/>
      <c r="J20" s="26" t="s">
        <v>190</v>
      </c>
      <c r="K20" s="27"/>
      <c r="L20" s="27"/>
      <c r="M20" s="27"/>
      <c r="N20" s="27"/>
      <c r="O20" s="27" t="s">
        <v>81</v>
      </c>
      <c r="P20" s="71">
        <v>2958465</v>
      </c>
      <c r="Q20" s="28" t="s">
        <v>174</v>
      </c>
      <c r="R20" s="29"/>
      <c r="S20" s="27"/>
      <c r="T20" s="27"/>
      <c r="U20" s="53"/>
    </row>
    <row r="21" spans="1:21" s="5" customFormat="1" ht="11.25" x14ac:dyDescent="0.2">
      <c r="A21" s="19" t="s">
        <v>144</v>
      </c>
      <c r="B21" s="19" t="s">
        <v>145</v>
      </c>
      <c r="C21" s="19" t="s">
        <v>146</v>
      </c>
      <c r="D21" s="20" t="s">
        <v>192</v>
      </c>
      <c r="E21" s="19"/>
      <c r="F21" s="19" t="s">
        <v>187</v>
      </c>
      <c r="G21" s="19" t="s">
        <v>188</v>
      </c>
      <c r="H21" s="19" t="s">
        <v>133</v>
      </c>
      <c r="I21" s="19"/>
      <c r="J21" s="26" t="s">
        <v>178</v>
      </c>
      <c r="K21" s="27">
        <v>200</v>
      </c>
      <c r="L21" s="27"/>
      <c r="M21" s="27"/>
      <c r="N21" s="27"/>
      <c r="O21" s="27" t="s">
        <v>81</v>
      </c>
      <c r="P21" s="53"/>
      <c r="Q21" s="28" t="s">
        <v>174</v>
      </c>
      <c r="R21" s="27"/>
      <c r="S21" s="27"/>
      <c r="T21" s="54"/>
      <c r="U21" s="53"/>
    </row>
    <row r="22" spans="1:21" s="5" customFormat="1" ht="11.25" x14ac:dyDescent="0.2">
      <c r="A22" s="19" t="s">
        <v>193</v>
      </c>
      <c r="B22" s="19" t="s">
        <v>193</v>
      </c>
      <c r="C22" s="19" t="s">
        <v>194</v>
      </c>
      <c r="D22" s="20">
        <v>-1</v>
      </c>
      <c r="E22" s="19"/>
      <c r="F22" s="19" t="s">
        <v>187</v>
      </c>
      <c r="G22" s="19" t="s">
        <v>188</v>
      </c>
      <c r="H22" s="19" t="s">
        <v>195</v>
      </c>
      <c r="I22" s="19"/>
      <c r="J22" s="26" t="s">
        <v>173</v>
      </c>
      <c r="K22" s="27"/>
      <c r="L22" s="27"/>
      <c r="M22" s="27" t="s">
        <v>196</v>
      </c>
      <c r="N22" s="27" t="s">
        <v>197</v>
      </c>
      <c r="O22" s="27" t="s">
        <v>81</v>
      </c>
      <c r="P22" s="53"/>
      <c r="Q22" s="28" t="s">
        <v>174</v>
      </c>
      <c r="R22" s="27"/>
      <c r="S22" s="27"/>
      <c r="T22" s="54"/>
      <c r="U22" s="53"/>
    </row>
    <row r="23" spans="1:21" s="5" customFormat="1" ht="22.5" x14ac:dyDescent="0.2">
      <c r="A23" s="19" t="s">
        <v>198</v>
      </c>
      <c r="B23" s="19" t="s">
        <v>198</v>
      </c>
      <c r="C23" s="19" t="s">
        <v>199</v>
      </c>
      <c r="D23" s="20">
        <v>-1</v>
      </c>
      <c r="E23" s="19"/>
      <c r="F23" s="19" t="s">
        <v>187</v>
      </c>
      <c r="G23" s="19" t="s">
        <v>188</v>
      </c>
      <c r="H23" s="19" t="s">
        <v>195</v>
      </c>
      <c r="I23" s="19"/>
      <c r="J23" s="26" t="s">
        <v>173</v>
      </c>
      <c r="K23" s="27"/>
      <c r="L23" s="27"/>
      <c r="M23" s="27" t="s">
        <v>196</v>
      </c>
      <c r="N23" s="27" t="s">
        <v>197</v>
      </c>
      <c r="O23" s="27" t="s">
        <v>81</v>
      </c>
      <c r="P23" s="53"/>
      <c r="Q23" s="28" t="s">
        <v>174</v>
      </c>
      <c r="R23" s="27"/>
      <c r="S23" s="27"/>
      <c r="T23" s="54"/>
      <c r="U23" s="5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33" t="s">
        <v>42</v>
      </c>
      <c r="B1" s="7" t="s">
        <v>200</v>
      </c>
      <c r="C1"/>
      <c r="E1" s="4"/>
      <c r="F1" s="4"/>
      <c r="G1"/>
    </row>
    <row r="2" spans="1:21" customFormat="1" x14ac:dyDescent="0.2">
      <c r="A2" s="34" t="s">
        <v>44</v>
      </c>
      <c r="B2" s="17" t="s">
        <v>201</v>
      </c>
      <c r="E2" s="2"/>
      <c r="F2" s="2"/>
    </row>
    <row r="3" spans="1:21" x14ac:dyDescent="0.2">
      <c r="A3" s="35" t="s">
        <v>46</v>
      </c>
      <c r="B3" s="17" t="s">
        <v>202</v>
      </c>
    </row>
    <row r="4" spans="1:21" x14ac:dyDescent="0.2">
      <c r="A4" s="35" t="s">
        <v>47</v>
      </c>
    </row>
    <row r="5" spans="1:21" customFormat="1" x14ac:dyDescent="0.2">
      <c r="A5" s="34" t="s">
        <v>48</v>
      </c>
      <c r="B5" s="17" t="s">
        <v>166</v>
      </c>
      <c r="E5" s="2"/>
      <c r="F5" s="2"/>
      <c r="H5" s="8"/>
    </row>
    <row r="6" spans="1:21" customFormat="1" x14ac:dyDescent="0.2">
      <c r="A6" s="34" t="s">
        <v>50</v>
      </c>
      <c r="B6" s="17" t="s">
        <v>167</v>
      </c>
      <c r="E6" s="2"/>
      <c r="F6" s="2"/>
    </row>
    <row r="7" spans="1:21" customFormat="1" x14ac:dyDescent="0.2">
      <c r="A7" s="36" t="s">
        <v>51</v>
      </c>
      <c r="B7" s="8"/>
      <c r="E7" s="2"/>
      <c r="F7" s="2"/>
    </row>
    <row r="8" spans="1:21" customFormat="1" x14ac:dyDescent="0.2">
      <c r="A8" s="36" t="s">
        <v>52</v>
      </c>
      <c r="B8" s="17"/>
      <c r="E8" s="2"/>
      <c r="F8" s="2"/>
    </row>
    <row r="9" spans="1:21" customFormat="1" x14ac:dyDescent="0.2">
      <c r="A9" s="34" t="s">
        <v>54</v>
      </c>
      <c r="B9" s="32" t="s">
        <v>81</v>
      </c>
      <c r="C9" s="64"/>
      <c r="E9" s="2"/>
      <c r="F9" s="2"/>
      <c r="G9" s="64"/>
    </row>
    <row r="11" spans="1:21" s="21" customFormat="1" ht="13.5" customHeight="1" x14ac:dyDescent="0.2">
      <c r="A11" s="72"/>
      <c r="B11" s="72"/>
      <c r="C11" s="72"/>
      <c r="D11" s="72"/>
      <c r="E11" s="38"/>
      <c r="F11" s="38"/>
      <c r="G11" s="72"/>
      <c r="H11" s="37"/>
      <c r="I11" s="73"/>
      <c r="J11" s="84" t="s">
        <v>55</v>
      </c>
      <c r="K11" s="85"/>
      <c r="L11" s="85"/>
      <c r="M11" s="85"/>
      <c r="N11" s="85"/>
      <c r="O11" s="85"/>
      <c r="P11" s="86"/>
      <c r="Q11" s="87" t="s">
        <v>168</v>
      </c>
      <c r="R11" s="88"/>
      <c r="S11" s="88"/>
      <c r="T11" s="88"/>
      <c r="U11" s="89"/>
    </row>
    <row r="12" spans="1:21" s="21" customFormat="1" ht="23.25" customHeight="1" x14ac:dyDescent="0.2">
      <c r="A12" s="38" t="s">
        <v>58</v>
      </c>
      <c r="B12" s="38" t="s">
        <v>46</v>
      </c>
      <c r="C12" s="38" t="s">
        <v>23</v>
      </c>
      <c r="D12" s="38" t="s">
        <v>59</v>
      </c>
      <c r="E12" s="38" t="s">
        <v>60</v>
      </c>
      <c r="F12" s="38" t="s">
        <v>61</v>
      </c>
      <c r="G12" s="38" t="s">
        <v>62</v>
      </c>
      <c r="H12" s="38" t="s">
        <v>63</v>
      </c>
      <c r="I12" s="38" t="s">
        <v>64</v>
      </c>
      <c r="J12" s="74" t="s">
        <v>65</v>
      </c>
      <c r="K12" s="72" t="s">
        <v>52</v>
      </c>
      <c r="L12" s="72" t="s">
        <v>66</v>
      </c>
      <c r="M12" s="72" t="s">
        <v>67</v>
      </c>
      <c r="N12" s="72" t="s">
        <v>68</v>
      </c>
      <c r="O12" s="72" t="s">
        <v>69</v>
      </c>
      <c r="P12" s="75" t="s">
        <v>70</v>
      </c>
      <c r="Q12" s="76" t="s">
        <v>71</v>
      </c>
      <c r="R12" s="72" t="s">
        <v>72</v>
      </c>
      <c r="S12" s="72" t="s">
        <v>73</v>
      </c>
      <c r="T12" s="72" t="s">
        <v>74</v>
      </c>
      <c r="U12" s="75" t="s">
        <v>75</v>
      </c>
    </row>
    <row r="13" spans="1:21" s="5" customFormat="1" ht="22.5" x14ac:dyDescent="0.2">
      <c r="A13" s="19" t="s">
        <v>203</v>
      </c>
      <c r="B13" s="19" t="s">
        <v>204</v>
      </c>
      <c r="C13" s="19" t="s">
        <v>205</v>
      </c>
      <c r="D13" s="20"/>
      <c r="E13" s="19" t="s">
        <v>206</v>
      </c>
      <c r="F13" s="19"/>
      <c r="G13" s="19" t="s">
        <v>78</v>
      </c>
      <c r="H13" s="19" t="s">
        <v>207</v>
      </c>
      <c r="I13" s="19"/>
      <c r="J13" s="26" t="s">
        <v>208</v>
      </c>
      <c r="K13" s="27"/>
      <c r="L13" s="27"/>
      <c r="M13" s="27" t="s">
        <v>196</v>
      </c>
      <c r="N13" s="27" t="s">
        <v>209</v>
      </c>
      <c r="O13" s="27" t="s">
        <v>81</v>
      </c>
      <c r="P13" s="53" t="s">
        <v>210</v>
      </c>
      <c r="Q13" s="28"/>
      <c r="R13" s="29"/>
      <c r="S13" s="27"/>
      <c r="T13" s="29"/>
      <c r="U13" s="30"/>
    </row>
    <row r="14" spans="1:21" s="5" customFormat="1" ht="22.5" x14ac:dyDescent="0.2">
      <c r="A14" s="19" t="s">
        <v>211</v>
      </c>
      <c r="B14" s="19" t="s">
        <v>212</v>
      </c>
      <c r="C14" s="19" t="s">
        <v>213</v>
      </c>
      <c r="D14" s="20"/>
      <c r="E14" s="19" t="s">
        <v>206</v>
      </c>
      <c r="F14" s="19"/>
      <c r="G14" s="19" t="s">
        <v>78</v>
      </c>
      <c r="H14" s="19" t="s">
        <v>214</v>
      </c>
      <c r="I14" s="19"/>
      <c r="J14" s="26" t="s">
        <v>173</v>
      </c>
      <c r="K14" s="27"/>
      <c r="L14" s="27"/>
      <c r="M14" s="27" t="s">
        <v>196</v>
      </c>
      <c r="N14" s="27" t="s">
        <v>215</v>
      </c>
      <c r="O14" s="27" t="s">
        <v>81</v>
      </c>
      <c r="P14" s="53" t="s">
        <v>210</v>
      </c>
      <c r="Q14" s="28"/>
      <c r="R14" s="29"/>
      <c r="S14" s="27"/>
      <c r="T14" s="29"/>
      <c r="U14" s="30"/>
    </row>
    <row r="15" spans="1:21" s="5" customFormat="1" ht="11.25" x14ac:dyDescent="0.2">
      <c r="A15" s="20" t="s">
        <v>193</v>
      </c>
      <c r="B15" s="20" t="s">
        <v>216</v>
      </c>
      <c r="C15" s="19" t="s">
        <v>217</v>
      </c>
      <c r="D15" s="20"/>
      <c r="E15" s="19" t="s">
        <v>206</v>
      </c>
      <c r="F15" s="19"/>
      <c r="G15" s="19" t="s">
        <v>78</v>
      </c>
      <c r="H15" s="19" t="s">
        <v>218</v>
      </c>
      <c r="I15" s="19"/>
      <c r="J15" s="26" t="s">
        <v>173</v>
      </c>
      <c r="K15" s="27"/>
      <c r="L15" s="27"/>
      <c r="M15" s="27" t="s">
        <v>196</v>
      </c>
      <c r="N15" s="27" t="s">
        <v>197</v>
      </c>
      <c r="O15" s="27" t="s">
        <v>81</v>
      </c>
      <c r="P15" s="53" t="s">
        <v>210</v>
      </c>
      <c r="Q15" s="28"/>
      <c r="R15" s="29"/>
      <c r="S15" s="27"/>
      <c r="T15" s="27"/>
      <c r="U15" s="53"/>
    </row>
    <row r="16" spans="1:21" s="5" customFormat="1" ht="11.25" x14ac:dyDescent="0.2">
      <c r="A16" s="19" t="s">
        <v>198</v>
      </c>
      <c r="B16" s="19" t="s">
        <v>219</v>
      </c>
      <c r="C16" s="19" t="s">
        <v>220</v>
      </c>
      <c r="D16" s="20">
        <v>-2</v>
      </c>
      <c r="E16" s="19" t="s">
        <v>206</v>
      </c>
      <c r="F16" s="19"/>
      <c r="G16" s="19" t="s">
        <v>78</v>
      </c>
      <c r="H16" s="19" t="s">
        <v>218</v>
      </c>
      <c r="I16" s="19"/>
      <c r="J16" s="26" t="s">
        <v>173</v>
      </c>
      <c r="K16" s="27"/>
      <c r="L16" s="27"/>
      <c r="M16" s="27" t="s">
        <v>196</v>
      </c>
      <c r="N16" s="27" t="s">
        <v>197</v>
      </c>
      <c r="O16" s="27" t="s">
        <v>81</v>
      </c>
      <c r="P16" s="53" t="s">
        <v>210</v>
      </c>
      <c r="Q16" s="28"/>
      <c r="R16" s="29"/>
      <c r="S16" s="27"/>
      <c r="T16" s="27"/>
      <c r="U16" s="53"/>
    </row>
    <row r="17" spans="1:21" s="5" customFormat="1" ht="22.5" x14ac:dyDescent="0.2">
      <c r="A17" s="19" t="s">
        <v>221</v>
      </c>
      <c r="B17" s="19" t="s">
        <v>222</v>
      </c>
      <c r="C17" s="19" t="s">
        <v>223</v>
      </c>
      <c r="D17" s="20"/>
      <c r="E17" s="19"/>
      <c r="F17" s="19"/>
      <c r="G17" s="19" t="s">
        <v>188</v>
      </c>
      <c r="H17" s="19"/>
      <c r="I17" s="19"/>
      <c r="J17" s="26" t="s">
        <v>173</v>
      </c>
      <c r="K17" s="27"/>
      <c r="L17" s="27"/>
      <c r="M17" s="27"/>
      <c r="N17" s="27"/>
      <c r="O17" s="27" t="s">
        <v>9</v>
      </c>
      <c r="P17" s="53"/>
      <c r="Q17" s="28"/>
      <c r="R17" s="29"/>
      <c r="S17" s="27"/>
      <c r="T17" s="27"/>
      <c r="U17" s="53"/>
    </row>
    <row r="18" spans="1:21" s="5" customFormat="1" ht="11.25" x14ac:dyDescent="0.2">
      <c r="A18" s="19" t="s">
        <v>224</v>
      </c>
      <c r="B18" s="19" t="s">
        <v>225</v>
      </c>
      <c r="C18" s="19" t="s">
        <v>226</v>
      </c>
      <c r="D18" s="20"/>
      <c r="E18" s="19"/>
      <c r="F18" s="19"/>
      <c r="G18" s="19" t="s">
        <v>227</v>
      </c>
      <c r="H18" s="19"/>
      <c r="I18" s="19"/>
      <c r="J18" s="26" t="s">
        <v>228</v>
      </c>
      <c r="K18" s="27"/>
      <c r="L18" s="27"/>
      <c r="M18" s="27"/>
      <c r="N18" s="27"/>
      <c r="O18" s="27" t="s">
        <v>9</v>
      </c>
      <c r="P18" s="53"/>
      <c r="Q18" s="28"/>
      <c r="R18" s="27"/>
      <c r="S18" s="27"/>
      <c r="T18" s="54"/>
      <c r="U18" s="53"/>
    </row>
    <row r="19" spans="1:21" s="5" customFormat="1" ht="11.25" x14ac:dyDescent="0.2">
      <c r="A19" s="19" t="s">
        <v>229</v>
      </c>
      <c r="B19" s="19" t="s">
        <v>230</v>
      </c>
      <c r="C19" s="19" t="s">
        <v>226</v>
      </c>
      <c r="D19" s="20"/>
      <c r="E19" s="19"/>
      <c r="F19" s="19"/>
      <c r="G19" s="19" t="s">
        <v>227</v>
      </c>
      <c r="H19" s="19"/>
      <c r="I19" s="19"/>
      <c r="J19" s="26" t="s">
        <v>228</v>
      </c>
      <c r="K19" s="27"/>
      <c r="L19" s="27"/>
      <c r="M19" s="27"/>
      <c r="N19" s="27"/>
      <c r="O19" s="27" t="s">
        <v>9</v>
      </c>
      <c r="P19" s="53"/>
      <c r="Q19" s="28"/>
      <c r="R19" s="27"/>
      <c r="S19" s="27"/>
      <c r="T19" s="54"/>
      <c r="U19" s="53"/>
    </row>
    <row r="20" spans="1:21" s="5" customFormat="1" ht="11.25" x14ac:dyDescent="0.2">
      <c r="A20" s="19" t="s">
        <v>231</v>
      </c>
      <c r="B20" s="19" t="s">
        <v>232</v>
      </c>
      <c r="C20" s="19" t="s">
        <v>226</v>
      </c>
      <c r="D20" s="20"/>
      <c r="E20" s="19"/>
      <c r="F20" s="19"/>
      <c r="G20" s="19" t="s">
        <v>233</v>
      </c>
      <c r="H20" s="19"/>
      <c r="I20" s="19"/>
      <c r="J20" s="26" t="s">
        <v>234</v>
      </c>
      <c r="K20" s="27"/>
      <c r="L20" s="27"/>
      <c r="M20" s="27"/>
      <c r="N20" s="27"/>
      <c r="O20" s="27" t="s">
        <v>9</v>
      </c>
      <c r="P20" s="53"/>
      <c r="Q20" s="28"/>
      <c r="R20" s="27"/>
      <c r="S20" s="27"/>
      <c r="T20" s="54"/>
      <c r="U20" s="53"/>
    </row>
    <row r="41" spans="12:12" x14ac:dyDescent="0.2">
      <c r="L41" s="17" t="s">
        <v>235</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2"/>
  <sheetViews>
    <sheetView zoomScale="145" zoomScaleNormal="145" zoomScaleSheetLayoutView="100" workbookViewId="0">
      <pane xSplit="2" ySplit="12" topLeftCell="I13" activePane="bottomRight" state="frozenSplit"/>
      <selection pane="topRight" activeCell="C1" sqref="C1"/>
      <selection pane="bottomLeft" activeCell="A13" sqref="A13"/>
      <selection pane="bottomRight" activeCell="I17" sqref="I17"/>
    </sheetView>
  </sheetViews>
  <sheetFormatPr defaultColWidth="9.140625" defaultRowHeight="12.75" x14ac:dyDescent="0.2"/>
  <cols>
    <col min="1" max="1" width="20.42578125" style="8" customWidth="1"/>
    <col min="2" max="2" width="40.85546875" style="8" customWidth="1"/>
    <col min="3" max="3" width="32.5703125" style="8" customWidth="1"/>
    <col min="4" max="4" width="9.7109375" style="8" hidden="1" customWidth="1"/>
    <col min="5" max="5" width="18.85546875" style="6" customWidth="1"/>
    <col min="6" max="6" width="4.42578125" style="6" bestFit="1" customWidth="1"/>
    <col min="7" max="7" width="14" style="8" bestFit="1" customWidth="1"/>
    <col min="8" max="8" width="33" style="8" customWidth="1"/>
    <col min="9" max="9" width="16.5703125" style="8" customWidth="1"/>
    <col min="10" max="10" width="10" style="8" bestFit="1" customWidth="1"/>
    <col min="11" max="11" width="4" style="8" bestFit="1" customWidth="1"/>
    <col min="12" max="12" width="7.28515625" style="8" customWidth="1"/>
    <col min="13" max="13" width="5.5703125" style="8" bestFit="1" customWidth="1"/>
    <col min="14" max="14" width="22.85546875" style="8" bestFit="1" customWidth="1"/>
    <col min="15" max="15" width="5.5703125" style="8" bestFit="1" customWidth="1"/>
    <col min="16" max="16" width="10.28515625" style="8" bestFit="1" customWidth="1"/>
    <col min="17" max="17" width="12.42578125" style="8" customWidth="1"/>
    <col min="18" max="18" width="12" style="8" bestFit="1" customWidth="1"/>
    <col min="19" max="19" width="13.7109375" style="8" bestFit="1" customWidth="1"/>
    <col min="20" max="20" width="57.85546875" style="8" customWidth="1"/>
    <col min="21" max="21" width="10.140625" style="8" customWidth="1"/>
    <col min="22" max="22" width="8.7109375" style="8" customWidth="1"/>
    <col min="23" max="23" width="12" style="8" bestFit="1" customWidth="1"/>
    <col min="24" max="24" width="13.7109375" style="8" bestFit="1" customWidth="1"/>
    <col min="25" max="25" width="57.85546875" style="8" customWidth="1"/>
    <col min="26" max="26" width="10.140625" style="8" customWidth="1"/>
    <col min="27" max="16384" width="9.140625" style="8"/>
  </cols>
  <sheetData>
    <row r="1" spans="1:26" s="9" customFormat="1" ht="18" x14ac:dyDescent="0.25">
      <c r="A1" s="33" t="s">
        <v>42</v>
      </c>
      <c r="B1" s="7" t="s">
        <v>236</v>
      </c>
      <c r="C1"/>
      <c r="E1" s="4"/>
      <c r="F1" s="4"/>
      <c r="G1"/>
    </row>
    <row r="2" spans="1:26" customFormat="1" x14ac:dyDescent="0.2">
      <c r="A2" s="34" t="s">
        <v>44</v>
      </c>
      <c r="B2" s="17" t="s">
        <v>201</v>
      </c>
      <c r="E2" s="2"/>
      <c r="F2" s="2"/>
    </row>
    <row r="3" spans="1:26" x14ac:dyDescent="0.2">
      <c r="A3" s="35" t="s">
        <v>46</v>
      </c>
      <c r="B3" s="17" t="s">
        <v>236</v>
      </c>
    </row>
    <row r="4" spans="1:26" x14ac:dyDescent="0.2">
      <c r="A4" s="35" t="s">
        <v>47</v>
      </c>
    </row>
    <row r="5" spans="1:26" customFormat="1" x14ac:dyDescent="0.2">
      <c r="A5" s="34" t="s">
        <v>48</v>
      </c>
      <c r="B5" s="17" t="s">
        <v>237</v>
      </c>
      <c r="E5" s="2"/>
      <c r="F5" s="2"/>
      <c r="H5" s="8"/>
    </row>
    <row r="6" spans="1:26" customFormat="1" x14ac:dyDescent="0.2">
      <c r="A6" s="34" t="s">
        <v>50</v>
      </c>
      <c r="B6" s="17"/>
      <c r="E6" s="2"/>
      <c r="F6" s="2"/>
    </row>
    <row r="7" spans="1:26" customFormat="1" x14ac:dyDescent="0.2">
      <c r="A7" s="36" t="s">
        <v>51</v>
      </c>
      <c r="B7" s="8"/>
      <c r="E7" s="2"/>
      <c r="F7" s="2"/>
    </row>
    <row r="8" spans="1:26" customFormat="1" x14ac:dyDescent="0.2">
      <c r="A8" s="36" t="s">
        <v>52</v>
      </c>
      <c r="B8" s="17" t="s">
        <v>238</v>
      </c>
      <c r="E8" s="2"/>
      <c r="F8" s="2"/>
    </row>
    <row r="9" spans="1:26" customFormat="1" x14ac:dyDescent="0.2">
      <c r="A9" s="34" t="s">
        <v>54</v>
      </c>
      <c r="B9" s="32" t="s">
        <v>9</v>
      </c>
      <c r="C9" s="64"/>
      <c r="E9" s="2"/>
      <c r="F9" s="2"/>
      <c r="G9" s="64"/>
    </row>
    <row r="11" spans="1:26" s="21" customFormat="1" ht="13.5" customHeight="1" x14ac:dyDescent="0.2">
      <c r="A11" s="72"/>
      <c r="B11" s="72"/>
      <c r="C11" s="72"/>
      <c r="D11" s="72"/>
      <c r="E11" s="38"/>
      <c r="F11" s="38"/>
      <c r="G11" s="72"/>
      <c r="H11" s="37"/>
      <c r="I11" s="73"/>
      <c r="J11" s="84" t="s">
        <v>55</v>
      </c>
      <c r="K11" s="85"/>
      <c r="L11" s="85"/>
      <c r="M11" s="85"/>
      <c r="N11" s="85"/>
      <c r="O11" s="85"/>
      <c r="P11" s="86"/>
      <c r="Q11" s="87" t="s">
        <v>56</v>
      </c>
      <c r="R11" s="88"/>
      <c r="S11" s="88"/>
      <c r="T11" s="88"/>
      <c r="U11" s="89"/>
      <c r="V11" s="87" t="s">
        <v>57</v>
      </c>
      <c r="W11" s="88"/>
      <c r="X11" s="88"/>
      <c r="Y11" s="88"/>
      <c r="Z11" s="89"/>
    </row>
    <row r="12" spans="1:26" s="21" customFormat="1" ht="23.25" customHeight="1" x14ac:dyDescent="0.2">
      <c r="A12" s="38" t="s">
        <v>58</v>
      </c>
      <c r="B12" s="38" t="s">
        <v>46</v>
      </c>
      <c r="C12" s="38" t="s">
        <v>23</v>
      </c>
      <c r="D12" s="38" t="s">
        <v>59</v>
      </c>
      <c r="E12" s="38" t="s">
        <v>60</v>
      </c>
      <c r="F12" s="38" t="s">
        <v>61</v>
      </c>
      <c r="G12" s="38" t="s">
        <v>62</v>
      </c>
      <c r="H12" s="38" t="s">
        <v>63</v>
      </c>
      <c r="I12" s="38" t="s">
        <v>64</v>
      </c>
      <c r="J12" s="74" t="s">
        <v>65</v>
      </c>
      <c r="K12" s="72" t="s">
        <v>52</v>
      </c>
      <c r="L12" s="72" t="s">
        <v>66</v>
      </c>
      <c r="M12" s="72" t="s">
        <v>67</v>
      </c>
      <c r="N12" s="72" t="s">
        <v>68</v>
      </c>
      <c r="O12" s="72" t="s">
        <v>69</v>
      </c>
      <c r="P12" s="75" t="s">
        <v>70</v>
      </c>
      <c r="Q12" s="76" t="s">
        <v>71</v>
      </c>
      <c r="R12" s="72" t="s">
        <v>72</v>
      </c>
      <c r="S12" s="72" t="s">
        <v>73</v>
      </c>
      <c r="T12" s="72" t="s">
        <v>74</v>
      </c>
      <c r="U12" s="75" t="s">
        <v>75</v>
      </c>
      <c r="V12" s="76" t="s">
        <v>71</v>
      </c>
      <c r="W12" s="72" t="s">
        <v>72</v>
      </c>
      <c r="X12" s="72" t="s">
        <v>73</v>
      </c>
      <c r="Y12" s="72" t="s">
        <v>74</v>
      </c>
      <c r="Z12" s="75" t="s">
        <v>75</v>
      </c>
    </row>
    <row r="13" spans="1:26" s="20" customFormat="1" ht="11.25" x14ac:dyDescent="0.2">
      <c r="A13" s="19" t="s">
        <v>76</v>
      </c>
      <c r="B13" s="19" t="s">
        <v>76</v>
      </c>
      <c r="C13" s="19" t="s">
        <v>239</v>
      </c>
      <c r="D13" s="20">
        <v>-2</v>
      </c>
      <c r="E13" s="19"/>
      <c r="F13" s="19"/>
      <c r="G13" s="19"/>
      <c r="H13" s="19"/>
      <c r="I13" s="19"/>
      <c r="J13" s="26" t="s">
        <v>79</v>
      </c>
      <c r="K13" s="27"/>
      <c r="L13" s="27"/>
      <c r="M13" s="27" t="s">
        <v>196</v>
      </c>
      <c r="N13" s="27" t="s">
        <v>240</v>
      </c>
      <c r="O13" s="27" t="s">
        <v>81</v>
      </c>
      <c r="P13" s="53"/>
      <c r="Q13" s="28"/>
      <c r="R13" s="29"/>
      <c r="S13" s="27"/>
      <c r="T13" s="27"/>
      <c r="U13" s="53"/>
      <c r="V13" s="28"/>
      <c r="W13" s="29"/>
      <c r="X13" s="27"/>
      <c r="Y13" s="27"/>
      <c r="Z13" s="53"/>
    </row>
    <row r="14" spans="1:26" s="20" customFormat="1" ht="11.25" x14ac:dyDescent="0.2">
      <c r="A14" s="19" t="s">
        <v>150</v>
      </c>
      <c r="B14" s="19" t="s">
        <v>150</v>
      </c>
      <c r="C14" s="19" t="s">
        <v>241</v>
      </c>
      <c r="E14" s="19"/>
      <c r="F14" s="19"/>
      <c r="G14" s="19"/>
      <c r="H14" s="19"/>
      <c r="I14" s="19"/>
      <c r="J14" s="26" t="s">
        <v>79</v>
      </c>
      <c r="K14" s="27"/>
      <c r="L14" s="27"/>
      <c r="M14" s="27" t="s">
        <v>196</v>
      </c>
      <c r="N14" s="27" t="s">
        <v>242</v>
      </c>
      <c r="O14" s="27" t="s">
        <v>81</v>
      </c>
      <c r="P14" s="53"/>
      <c r="Q14" s="28"/>
      <c r="R14" s="29"/>
      <c r="S14" s="27"/>
      <c r="T14" s="27"/>
      <c r="U14" s="53"/>
      <c r="V14" s="28"/>
      <c r="W14" s="29"/>
      <c r="X14" s="27"/>
      <c r="Y14" s="27"/>
      <c r="Z14" s="53"/>
    </row>
    <row r="15" spans="1:26" s="20" customFormat="1" ht="11.25" x14ac:dyDescent="0.2">
      <c r="A15" s="19" t="s">
        <v>91</v>
      </c>
      <c r="B15" s="19" t="s">
        <v>91</v>
      </c>
      <c r="C15" s="19" t="s">
        <v>92</v>
      </c>
      <c r="E15" s="19"/>
      <c r="F15" s="19"/>
      <c r="G15" s="19"/>
      <c r="H15" s="19"/>
      <c r="I15" s="19"/>
      <c r="J15" s="26" t="s">
        <v>93</v>
      </c>
      <c r="K15" s="27">
        <v>3</v>
      </c>
      <c r="L15" s="27"/>
      <c r="M15" s="27"/>
      <c r="N15" s="27"/>
      <c r="O15" s="27" t="s">
        <v>81</v>
      </c>
      <c r="P15" s="53"/>
      <c r="Q15" s="28"/>
      <c r="R15" s="27"/>
      <c r="S15" s="27"/>
      <c r="T15" s="54"/>
      <c r="U15" s="53"/>
      <c r="V15" s="28"/>
      <c r="W15" s="27"/>
      <c r="X15" s="27"/>
      <c r="Y15" s="54"/>
      <c r="Z15" s="53"/>
    </row>
    <row r="16" spans="1:26" s="20" customFormat="1" ht="22.5" x14ac:dyDescent="0.2">
      <c r="A16" s="19" t="s">
        <v>243</v>
      </c>
      <c r="B16" s="19" t="s">
        <v>243</v>
      </c>
      <c r="C16" s="19" t="s">
        <v>244</v>
      </c>
      <c r="E16" s="19"/>
      <c r="F16" s="19"/>
      <c r="G16" s="19"/>
      <c r="H16" s="19"/>
      <c r="I16" s="19"/>
      <c r="J16" s="26" t="s">
        <v>79</v>
      </c>
      <c r="K16" s="27"/>
      <c r="L16" s="27"/>
      <c r="M16" s="27"/>
      <c r="N16" s="27"/>
      <c r="O16" s="27" t="s">
        <v>81</v>
      </c>
      <c r="P16" s="53">
        <v>0</v>
      </c>
      <c r="Q16" s="28" t="s">
        <v>84</v>
      </c>
      <c r="R16" s="27" t="s">
        <v>85</v>
      </c>
      <c r="S16" s="27" t="s">
        <v>245</v>
      </c>
      <c r="T16" s="54" t="s">
        <v>246</v>
      </c>
      <c r="U16" s="53" t="s">
        <v>79</v>
      </c>
      <c r="V16" s="28"/>
      <c r="W16" s="27"/>
      <c r="X16" s="27"/>
      <c r="Y16" s="54"/>
      <c r="Z16" s="53"/>
    </row>
    <row r="17" spans="1:26" s="20" customFormat="1" ht="12" customHeight="1" x14ac:dyDescent="0.2">
      <c r="A17" s="19" t="s">
        <v>247</v>
      </c>
      <c r="B17" s="19" t="s">
        <v>247</v>
      </c>
      <c r="C17" s="19" t="s">
        <v>248</v>
      </c>
      <c r="E17" s="19"/>
      <c r="F17" s="19"/>
      <c r="G17" s="19"/>
      <c r="H17" s="19"/>
      <c r="I17" s="19"/>
      <c r="J17" s="26" t="s">
        <v>249</v>
      </c>
      <c r="K17" s="27">
        <v>14</v>
      </c>
      <c r="L17" s="27">
        <v>2</v>
      </c>
      <c r="M17" s="27"/>
      <c r="N17" s="27"/>
      <c r="O17" s="27" t="s">
        <v>81</v>
      </c>
      <c r="P17" s="53">
        <v>0</v>
      </c>
      <c r="Q17" s="28" t="s">
        <v>84</v>
      </c>
      <c r="R17" s="27" t="s">
        <v>85</v>
      </c>
      <c r="S17" s="27" t="s">
        <v>152</v>
      </c>
      <c r="T17" s="54" t="s">
        <v>250</v>
      </c>
      <c r="U17" s="53" t="s">
        <v>251</v>
      </c>
      <c r="V17" s="28" t="s">
        <v>88</v>
      </c>
      <c r="W17" s="27" t="s">
        <v>85</v>
      </c>
      <c r="X17" s="27" t="s">
        <v>252</v>
      </c>
      <c r="Y17" s="54" t="s">
        <v>253</v>
      </c>
      <c r="Z17" s="53" t="s">
        <v>251</v>
      </c>
    </row>
    <row r="18" spans="1:26" s="20" customFormat="1" ht="12" customHeight="1" x14ac:dyDescent="0.2">
      <c r="A18" s="19" t="s">
        <v>254</v>
      </c>
      <c r="B18" s="19" t="s">
        <v>254</v>
      </c>
      <c r="C18" s="19" t="s">
        <v>255</v>
      </c>
      <c r="D18" s="20" t="s">
        <v>185</v>
      </c>
      <c r="E18" s="19"/>
      <c r="F18" s="19"/>
      <c r="G18" s="19"/>
      <c r="H18" s="19" t="s">
        <v>255</v>
      </c>
      <c r="I18" s="19"/>
      <c r="J18" s="26" t="s">
        <v>249</v>
      </c>
      <c r="K18" s="27">
        <v>14</v>
      </c>
      <c r="L18" s="27">
        <v>2</v>
      </c>
      <c r="M18" s="27"/>
      <c r="N18" s="27"/>
      <c r="O18" s="27" t="s">
        <v>81</v>
      </c>
      <c r="P18" s="53">
        <v>0</v>
      </c>
      <c r="Q18" s="28"/>
      <c r="R18" s="27"/>
      <c r="S18" s="27"/>
      <c r="T18" s="54"/>
      <c r="U18" s="53"/>
      <c r="V18" s="28"/>
      <c r="W18" s="27"/>
      <c r="X18" s="27"/>
      <c r="Y18" s="54"/>
      <c r="Z18" s="53"/>
    </row>
    <row r="19" spans="1:26" s="5" customFormat="1" ht="22.5" x14ac:dyDescent="0.2">
      <c r="A19" s="19" t="s">
        <v>256</v>
      </c>
      <c r="B19" s="19" t="s">
        <v>256</v>
      </c>
      <c r="C19" s="19" t="s">
        <v>257</v>
      </c>
      <c r="D19" s="20"/>
      <c r="E19" s="77"/>
      <c r="F19" s="19"/>
      <c r="G19" s="19"/>
      <c r="H19" s="19"/>
      <c r="I19" s="19"/>
      <c r="J19" s="26" t="s">
        <v>79</v>
      </c>
      <c r="K19" s="27"/>
      <c r="L19" s="27"/>
      <c r="M19" s="27"/>
      <c r="N19" s="27"/>
      <c r="O19" s="27" t="s">
        <v>81</v>
      </c>
      <c r="P19" s="53"/>
      <c r="Q19" s="28" t="s">
        <v>84</v>
      </c>
      <c r="R19" s="29" t="s">
        <v>85</v>
      </c>
      <c r="S19" s="27" t="s">
        <v>258</v>
      </c>
      <c r="T19" s="54" t="s">
        <v>259</v>
      </c>
      <c r="U19" s="53" t="s">
        <v>79</v>
      </c>
      <c r="V19" s="28" t="s">
        <v>88</v>
      </c>
      <c r="W19" s="29" t="s">
        <v>85</v>
      </c>
      <c r="X19" s="27" t="s">
        <v>252</v>
      </c>
      <c r="Y19" s="54" t="s">
        <v>260</v>
      </c>
      <c r="Z19" s="53" t="s">
        <v>79</v>
      </c>
    </row>
    <row r="20" spans="1:26" s="5" customFormat="1" ht="22.5" x14ac:dyDescent="0.2">
      <c r="A20" s="19" t="s">
        <v>261</v>
      </c>
      <c r="B20" s="19" t="s">
        <v>261</v>
      </c>
      <c r="C20" s="19" t="s">
        <v>262</v>
      </c>
      <c r="D20" s="20"/>
      <c r="E20" s="77"/>
      <c r="F20" s="19"/>
      <c r="G20" s="19"/>
      <c r="H20" s="19" t="s">
        <v>263</v>
      </c>
      <c r="I20" s="19"/>
      <c r="J20" s="26" t="s">
        <v>249</v>
      </c>
      <c r="K20" s="27">
        <v>14</v>
      </c>
      <c r="L20" s="27">
        <v>2</v>
      </c>
      <c r="M20" s="27"/>
      <c r="N20" s="27"/>
      <c r="O20" s="27" t="s">
        <v>81</v>
      </c>
      <c r="P20" s="53">
        <v>0</v>
      </c>
      <c r="Q20" s="28"/>
      <c r="R20" s="29"/>
      <c r="S20" s="27"/>
      <c r="T20" s="54"/>
      <c r="U20" s="53"/>
      <c r="V20" s="28"/>
      <c r="W20" s="29"/>
      <c r="X20" s="27"/>
      <c r="Y20" s="54"/>
      <c r="Z20" s="53"/>
    </row>
    <row r="21" spans="1:26" ht="33.75" x14ac:dyDescent="0.2">
      <c r="A21" s="19" t="s">
        <v>264</v>
      </c>
      <c r="B21" s="19" t="s">
        <v>264</v>
      </c>
      <c r="C21" s="19" t="s">
        <v>265</v>
      </c>
      <c r="D21" s="19" t="s">
        <v>265</v>
      </c>
      <c r="E21" s="19"/>
      <c r="F21" s="19"/>
      <c r="G21" s="19"/>
      <c r="H21" s="19" t="s">
        <v>265</v>
      </c>
      <c r="J21" s="26" t="s">
        <v>249</v>
      </c>
      <c r="K21" s="27">
        <v>14</v>
      </c>
      <c r="L21" s="27">
        <v>2</v>
      </c>
      <c r="M21" s="27"/>
      <c r="N21" s="27"/>
      <c r="O21" s="27" t="s">
        <v>81</v>
      </c>
      <c r="P21" s="53">
        <v>0</v>
      </c>
      <c r="Q21" s="28"/>
      <c r="R21" s="29"/>
      <c r="S21" s="27"/>
      <c r="T21" s="54"/>
      <c r="U21" s="53"/>
      <c r="V21" s="28"/>
      <c r="W21" s="29"/>
      <c r="X21" s="27"/>
      <c r="Y21" s="54"/>
      <c r="Z21" s="53"/>
    </row>
    <row r="22" spans="1:26" ht="33.75" x14ac:dyDescent="0.2">
      <c r="A22" s="19" t="s">
        <v>266</v>
      </c>
      <c r="B22" s="19" t="s">
        <v>266</v>
      </c>
      <c r="C22" s="19" t="s">
        <v>267</v>
      </c>
      <c r="D22" s="19"/>
      <c r="E22" s="19"/>
      <c r="F22" s="19"/>
      <c r="G22" s="19"/>
      <c r="H22" s="19"/>
      <c r="J22" s="26" t="s">
        <v>79</v>
      </c>
      <c r="K22" s="27"/>
      <c r="L22" s="27" t="s">
        <v>235</v>
      </c>
      <c r="M22" s="27" t="s">
        <v>196</v>
      </c>
      <c r="N22" s="27" t="s">
        <v>268</v>
      </c>
      <c r="O22" s="27" t="s">
        <v>81</v>
      </c>
      <c r="P22" s="53">
        <v>-1</v>
      </c>
      <c r="Q22" s="28"/>
      <c r="R22" s="29"/>
      <c r="S22" s="27"/>
      <c r="T22" s="54"/>
      <c r="U22" s="53"/>
      <c r="V22" s="28"/>
      <c r="W22" s="29"/>
      <c r="X22" s="27"/>
      <c r="Y22" s="54"/>
      <c r="Z22" s="53"/>
    </row>
  </sheetData>
  <dataConsolidate/>
  <mergeCells count="3">
    <mergeCell ref="J11:P11"/>
    <mergeCell ref="V11:Z11"/>
    <mergeCell ref="Q11:U11"/>
  </mergeCells>
  <phoneticPr fontId="2" type="noConversion"/>
  <dataValidations count="2">
    <dataValidation type="list" allowBlank="1" showInputMessage="1" showErrorMessage="1" promptTitle="Table Type" prompt="Dimension, Fact, or Audit" sqref="B2" xr:uid="{7DA5B7E0-996D-42E2-872C-8C244287BA45}">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764CC-D1CF-42A0-9F2B-2E78A893BB0D}">
  <dimension ref="A1:A390"/>
  <sheetViews>
    <sheetView workbookViewId="0">
      <selection activeCell="K1" sqref="K1"/>
    </sheetView>
  </sheetViews>
  <sheetFormatPr defaultRowHeight="12.75" x14ac:dyDescent="0.2"/>
  <sheetData>
    <row r="1" spans="1:1" x14ac:dyDescent="0.2">
      <c r="A1" t="s">
        <v>561</v>
      </c>
    </row>
    <row r="2" spans="1:1" x14ac:dyDescent="0.2">
      <c r="A2" t="s">
        <v>269</v>
      </c>
    </row>
    <row r="3" spans="1:1" x14ac:dyDescent="0.2">
      <c r="A3" t="s">
        <v>270</v>
      </c>
    </row>
    <row r="4" spans="1:1" x14ac:dyDescent="0.2">
      <c r="A4" t="s">
        <v>271</v>
      </c>
    </row>
    <row r="6" spans="1:1" x14ac:dyDescent="0.2">
      <c r="A6" t="s">
        <v>272</v>
      </c>
    </row>
    <row r="7" spans="1:1" x14ac:dyDescent="0.2">
      <c r="A7" t="s">
        <v>273</v>
      </c>
    </row>
    <row r="8" spans="1:1" x14ac:dyDescent="0.2">
      <c r="A8" t="s">
        <v>274</v>
      </c>
    </row>
    <row r="9" spans="1:1" x14ac:dyDescent="0.2">
      <c r="A9" t="s">
        <v>275</v>
      </c>
    </row>
    <row r="10" spans="1:1" x14ac:dyDescent="0.2">
      <c r="A10" t="s">
        <v>276</v>
      </c>
    </row>
    <row r="11" spans="1:1" x14ac:dyDescent="0.2">
      <c r="A11" t="s">
        <v>277</v>
      </c>
    </row>
    <row r="13" spans="1:1" x14ac:dyDescent="0.2">
      <c r="A13" t="s">
        <v>278</v>
      </c>
    </row>
    <row r="14" spans="1:1" x14ac:dyDescent="0.2">
      <c r="A14" t="s">
        <v>279</v>
      </c>
    </row>
    <row r="15" spans="1:1" x14ac:dyDescent="0.2">
      <c r="A15" t="s">
        <v>269</v>
      </c>
    </row>
    <row r="16" spans="1:1" x14ac:dyDescent="0.2">
      <c r="A16" t="s">
        <v>280</v>
      </c>
    </row>
    <row r="17" spans="1:1" x14ac:dyDescent="0.2">
      <c r="A17" t="s">
        <v>281</v>
      </c>
    </row>
    <row r="18" spans="1:1" x14ac:dyDescent="0.2">
      <c r="A18" t="s">
        <v>282</v>
      </c>
    </row>
    <row r="19" spans="1:1" x14ac:dyDescent="0.2">
      <c r="A19" t="s">
        <v>281</v>
      </c>
    </row>
    <row r="20" spans="1:1" x14ac:dyDescent="0.2">
      <c r="A20" t="s">
        <v>283</v>
      </c>
    </row>
    <row r="21" spans="1:1" x14ac:dyDescent="0.2">
      <c r="A21" t="s">
        <v>284</v>
      </c>
    </row>
    <row r="22" spans="1:1" x14ac:dyDescent="0.2">
      <c r="A22" t="s">
        <v>281</v>
      </c>
    </row>
    <row r="23" spans="1:1" x14ac:dyDescent="0.2">
      <c r="A23" t="s">
        <v>279</v>
      </c>
    </row>
    <row r="24" spans="1:1" x14ac:dyDescent="0.2">
      <c r="A24" t="s">
        <v>285</v>
      </c>
    </row>
    <row r="25" spans="1:1" x14ac:dyDescent="0.2">
      <c r="A25" t="s">
        <v>286</v>
      </c>
    </row>
    <row r="26" spans="1:1" x14ac:dyDescent="0.2">
      <c r="A26" t="s">
        <v>287</v>
      </c>
    </row>
    <row r="27" spans="1:1" x14ac:dyDescent="0.2">
      <c r="A27" t="s">
        <v>288</v>
      </c>
    </row>
    <row r="28" spans="1:1" x14ac:dyDescent="0.2">
      <c r="A28" t="s">
        <v>289</v>
      </c>
    </row>
    <row r="29" spans="1:1" x14ac:dyDescent="0.2">
      <c r="A29" t="s">
        <v>286</v>
      </c>
    </row>
    <row r="35" spans="1:1" x14ac:dyDescent="0.2">
      <c r="A35" t="s">
        <v>290</v>
      </c>
    </row>
    <row r="36" spans="1:1" x14ac:dyDescent="0.2">
      <c r="A36" t="s">
        <v>291</v>
      </c>
    </row>
    <row r="37" spans="1:1" x14ac:dyDescent="0.2">
      <c r="A37" t="s">
        <v>292</v>
      </c>
    </row>
    <row r="38" spans="1:1" x14ac:dyDescent="0.2">
      <c r="A38" t="s">
        <v>286</v>
      </c>
    </row>
    <row r="40" spans="1:1" x14ac:dyDescent="0.2">
      <c r="A40" t="s">
        <v>293</v>
      </c>
    </row>
    <row r="41" spans="1:1" x14ac:dyDescent="0.2">
      <c r="A41" t="s">
        <v>294</v>
      </c>
    </row>
    <row r="42" spans="1:1" x14ac:dyDescent="0.2">
      <c r="A42" t="s">
        <v>295</v>
      </c>
    </row>
    <row r="43" spans="1:1" x14ac:dyDescent="0.2">
      <c r="A43" t="s">
        <v>296</v>
      </c>
    </row>
    <row r="44" spans="1:1" x14ac:dyDescent="0.2">
      <c r="A44" t="s">
        <v>297</v>
      </c>
    </row>
    <row r="45" spans="1:1" x14ac:dyDescent="0.2">
      <c r="A45" t="s">
        <v>298</v>
      </c>
    </row>
    <row r="46" spans="1:1" x14ac:dyDescent="0.2">
      <c r="A46" t="s">
        <v>299</v>
      </c>
    </row>
    <row r="47" spans="1:1" x14ac:dyDescent="0.2">
      <c r="A47" t="s">
        <v>300</v>
      </c>
    </row>
    <row r="48" spans="1:1" x14ac:dyDescent="0.2">
      <c r="A48" t="s">
        <v>562</v>
      </c>
    </row>
    <row r="49" spans="1:1" x14ac:dyDescent="0.2">
      <c r="A49" t="s">
        <v>301</v>
      </c>
    </row>
    <row r="50" spans="1:1" x14ac:dyDescent="0.2">
      <c r="A50" t="s">
        <v>302</v>
      </c>
    </row>
    <row r="51" spans="1:1" x14ac:dyDescent="0.2">
      <c r="A51" t="s">
        <v>303</v>
      </c>
    </row>
    <row r="52" spans="1:1" x14ac:dyDescent="0.2">
      <c r="A52" t="s">
        <v>304</v>
      </c>
    </row>
    <row r="53" spans="1:1" x14ac:dyDescent="0.2">
      <c r="A53" t="s">
        <v>305</v>
      </c>
    </row>
    <row r="54" spans="1:1" x14ac:dyDescent="0.2">
      <c r="A54" t="s">
        <v>306</v>
      </c>
    </row>
    <row r="55" spans="1:1" x14ac:dyDescent="0.2">
      <c r="A55" t="s">
        <v>307</v>
      </c>
    </row>
    <row r="56" spans="1:1" x14ac:dyDescent="0.2">
      <c r="A56" t="s">
        <v>308</v>
      </c>
    </row>
    <row r="57" spans="1:1" x14ac:dyDescent="0.2">
      <c r="A57" t="s">
        <v>309</v>
      </c>
    </row>
    <row r="58" spans="1:1" x14ac:dyDescent="0.2">
      <c r="A58" t="s">
        <v>310</v>
      </c>
    </row>
    <row r="59" spans="1:1" x14ac:dyDescent="0.2">
      <c r="A59" t="s">
        <v>286</v>
      </c>
    </row>
    <row r="61" spans="1:1" x14ac:dyDescent="0.2">
      <c r="A61" t="s">
        <v>311</v>
      </c>
    </row>
    <row r="62" spans="1:1" x14ac:dyDescent="0.2">
      <c r="A62" t="s">
        <v>312</v>
      </c>
    </row>
    <row r="63" spans="1:1" x14ac:dyDescent="0.2">
      <c r="A63" t="s">
        <v>313</v>
      </c>
    </row>
    <row r="64" spans="1:1" x14ac:dyDescent="0.2">
      <c r="A64" t="s">
        <v>314</v>
      </c>
    </row>
    <row r="65" spans="1:1" x14ac:dyDescent="0.2">
      <c r="A65" t="s">
        <v>286</v>
      </c>
    </row>
    <row r="67" spans="1:1" x14ac:dyDescent="0.2">
      <c r="A67" t="s">
        <v>315</v>
      </c>
    </row>
    <row r="68" spans="1:1" x14ac:dyDescent="0.2">
      <c r="A68" t="s">
        <v>286</v>
      </c>
    </row>
    <row r="69" spans="1:1" x14ac:dyDescent="0.2">
      <c r="A69" t="s">
        <v>316</v>
      </c>
    </row>
    <row r="70" spans="1:1" x14ac:dyDescent="0.2">
      <c r="A70" t="s">
        <v>317</v>
      </c>
    </row>
    <row r="71" spans="1:1" x14ac:dyDescent="0.2">
      <c r="A71" t="s">
        <v>286</v>
      </c>
    </row>
    <row r="72" spans="1:1" x14ac:dyDescent="0.2">
      <c r="A72" t="s">
        <v>318</v>
      </c>
    </row>
    <row r="73" spans="1:1" x14ac:dyDescent="0.2">
      <c r="A73" t="s">
        <v>286</v>
      </c>
    </row>
    <row r="75" spans="1:1" x14ac:dyDescent="0.2">
      <c r="A75" t="s">
        <v>319</v>
      </c>
    </row>
    <row r="76" spans="1:1" x14ac:dyDescent="0.2">
      <c r="A76" t="s">
        <v>320</v>
      </c>
    </row>
    <row r="77" spans="1:1" x14ac:dyDescent="0.2">
      <c r="A77" t="s">
        <v>321</v>
      </c>
    </row>
    <row r="78" spans="1:1" x14ac:dyDescent="0.2">
      <c r="A78" t="s">
        <v>322</v>
      </c>
    </row>
    <row r="79" spans="1:1" x14ac:dyDescent="0.2">
      <c r="A79" t="s">
        <v>323</v>
      </c>
    </row>
    <row r="80" spans="1:1" x14ac:dyDescent="0.2">
      <c r="A80" t="s">
        <v>324</v>
      </c>
    </row>
    <row r="81" spans="1:1" x14ac:dyDescent="0.2">
      <c r="A81" t="s">
        <v>325</v>
      </c>
    </row>
    <row r="82" spans="1:1" x14ac:dyDescent="0.2">
      <c r="A82" t="s">
        <v>326</v>
      </c>
    </row>
    <row r="83" spans="1:1" x14ac:dyDescent="0.2">
      <c r="A83" t="s">
        <v>327</v>
      </c>
    </row>
    <row r="84" spans="1:1" x14ac:dyDescent="0.2">
      <c r="A84" t="s">
        <v>328</v>
      </c>
    </row>
    <row r="85" spans="1:1" x14ac:dyDescent="0.2">
      <c r="A85" t="s">
        <v>329</v>
      </c>
    </row>
    <row r="86" spans="1:1" x14ac:dyDescent="0.2">
      <c r="A86" t="s">
        <v>330</v>
      </c>
    </row>
    <row r="87" spans="1:1" x14ac:dyDescent="0.2">
      <c r="A87" t="s">
        <v>331</v>
      </c>
    </row>
    <row r="88" spans="1:1" x14ac:dyDescent="0.2">
      <c r="A88" t="s">
        <v>332</v>
      </c>
    </row>
    <row r="89" spans="1:1" x14ac:dyDescent="0.2">
      <c r="A89" t="s">
        <v>333</v>
      </c>
    </row>
    <row r="90" spans="1:1" x14ac:dyDescent="0.2">
      <c r="A90" t="s">
        <v>334</v>
      </c>
    </row>
    <row r="91" spans="1:1" x14ac:dyDescent="0.2">
      <c r="A91" t="s">
        <v>335</v>
      </c>
    </row>
    <row r="92" spans="1:1" x14ac:dyDescent="0.2">
      <c r="A92" t="s">
        <v>336</v>
      </c>
    </row>
    <row r="93" spans="1:1" x14ac:dyDescent="0.2">
      <c r="A93" t="s">
        <v>337</v>
      </c>
    </row>
    <row r="94" spans="1:1" x14ac:dyDescent="0.2">
      <c r="A94" t="s">
        <v>338</v>
      </c>
    </row>
    <row r="95" spans="1:1" x14ac:dyDescent="0.2">
      <c r="A95" t="s">
        <v>339</v>
      </c>
    </row>
    <row r="96" spans="1:1" x14ac:dyDescent="0.2">
      <c r="A96" t="s">
        <v>340</v>
      </c>
    </row>
    <row r="97" spans="1:1" x14ac:dyDescent="0.2">
      <c r="A97" t="s">
        <v>341</v>
      </c>
    </row>
    <row r="98" spans="1:1" x14ac:dyDescent="0.2">
      <c r="A98" t="s">
        <v>342</v>
      </c>
    </row>
    <row r="99" spans="1:1" x14ac:dyDescent="0.2">
      <c r="A99" t="s">
        <v>343</v>
      </c>
    </row>
    <row r="100" spans="1:1" x14ac:dyDescent="0.2">
      <c r="A100" t="s">
        <v>344</v>
      </c>
    </row>
    <row r="101" spans="1:1" x14ac:dyDescent="0.2">
      <c r="A101" t="s">
        <v>345</v>
      </c>
    </row>
    <row r="102" spans="1:1" x14ac:dyDescent="0.2">
      <c r="A102" t="s">
        <v>346</v>
      </c>
    </row>
    <row r="103" spans="1:1" x14ac:dyDescent="0.2">
      <c r="A103" t="s">
        <v>347</v>
      </c>
    </row>
    <row r="104" spans="1:1" x14ac:dyDescent="0.2">
      <c r="A104" t="s">
        <v>348</v>
      </c>
    </row>
    <row r="105" spans="1:1" x14ac:dyDescent="0.2">
      <c r="A105" t="s">
        <v>349</v>
      </c>
    </row>
    <row r="106" spans="1:1" x14ac:dyDescent="0.2">
      <c r="A106" t="s">
        <v>350</v>
      </c>
    </row>
    <row r="107" spans="1:1" x14ac:dyDescent="0.2">
      <c r="A107" t="s">
        <v>351</v>
      </c>
    </row>
    <row r="108" spans="1:1" x14ac:dyDescent="0.2">
      <c r="A108" t="s">
        <v>352</v>
      </c>
    </row>
    <row r="109" spans="1:1" x14ac:dyDescent="0.2">
      <c r="A109" t="s">
        <v>353</v>
      </c>
    </row>
    <row r="110" spans="1:1" x14ac:dyDescent="0.2">
      <c r="A110" t="s">
        <v>354</v>
      </c>
    </row>
    <row r="111" spans="1:1" x14ac:dyDescent="0.2">
      <c r="A111" t="s">
        <v>355</v>
      </c>
    </row>
    <row r="112" spans="1:1" x14ac:dyDescent="0.2">
      <c r="A112" t="s">
        <v>356</v>
      </c>
    </row>
    <row r="113" spans="1:1" x14ac:dyDescent="0.2">
      <c r="A113" t="s">
        <v>357</v>
      </c>
    </row>
    <row r="114" spans="1:1" x14ac:dyDescent="0.2">
      <c r="A114" t="s">
        <v>358</v>
      </c>
    </row>
    <row r="115" spans="1:1" x14ac:dyDescent="0.2">
      <c r="A115" t="s">
        <v>359</v>
      </c>
    </row>
    <row r="116" spans="1:1" x14ac:dyDescent="0.2">
      <c r="A116" t="s">
        <v>360</v>
      </c>
    </row>
    <row r="117" spans="1:1" x14ac:dyDescent="0.2">
      <c r="A117" t="s">
        <v>361</v>
      </c>
    </row>
    <row r="118" spans="1:1" x14ac:dyDescent="0.2">
      <c r="A118" t="s">
        <v>362</v>
      </c>
    </row>
    <row r="119" spans="1:1" x14ac:dyDescent="0.2">
      <c r="A119" t="s">
        <v>363</v>
      </c>
    </row>
    <row r="120" spans="1:1" x14ac:dyDescent="0.2">
      <c r="A120" t="s">
        <v>364</v>
      </c>
    </row>
    <row r="121" spans="1:1" x14ac:dyDescent="0.2">
      <c r="A121" t="s">
        <v>365</v>
      </c>
    </row>
    <row r="122" spans="1:1" x14ac:dyDescent="0.2">
      <c r="A122" t="s">
        <v>366</v>
      </c>
    </row>
    <row r="123" spans="1:1" x14ac:dyDescent="0.2">
      <c r="A123" t="s">
        <v>367</v>
      </c>
    </row>
    <row r="124" spans="1:1" x14ac:dyDescent="0.2">
      <c r="A124" t="s">
        <v>368</v>
      </c>
    </row>
    <row r="125" spans="1:1" x14ac:dyDescent="0.2">
      <c r="A125" t="s">
        <v>369</v>
      </c>
    </row>
    <row r="126" spans="1:1" x14ac:dyDescent="0.2">
      <c r="A126" t="s">
        <v>370</v>
      </c>
    </row>
    <row r="127" spans="1:1" x14ac:dyDescent="0.2">
      <c r="A127" t="s">
        <v>371</v>
      </c>
    </row>
    <row r="128" spans="1:1" x14ac:dyDescent="0.2">
      <c r="A128" t="s">
        <v>372</v>
      </c>
    </row>
    <row r="129" spans="1:1" x14ac:dyDescent="0.2">
      <c r="A129" t="s">
        <v>373</v>
      </c>
    </row>
    <row r="130" spans="1:1" x14ac:dyDescent="0.2">
      <c r="A130" t="s">
        <v>374</v>
      </c>
    </row>
    <row r="131" spans="1:1" x14ac:dyDescent="0.2">
      <c r="A131" t="s">
        <v>375</v>
      </c>
    </row>
    <row r="132" spans="1:1" x14ac:dyDescent="0.2">
      <c r="A132" t="s">
        <v>376</v>
      </c>
    </row>
    <row r="133" spans="1:1" x14ac:dyDescent="0.2">
      <c r="A133" t="s">
        <v>377</v>
      </c>
    </row>
    <row r="134" spans="1:1" x14ac:dyDescent="0.2">
      <c r="A134" t="s">
        <v>378</v>
      </c>
    </row>
    <row r="135" spans="1:1" x14ac:dyDescent="0.2">
      <c r="A135" t="s">
        <v>379</v>
      </c>
    </row>
    <row r="136" spans="1:1" x14ac:dyDescent="0.2">
      <c r="A136" t="s">
        <v>380</v>
      </c>
    </row>
    <row r="137" spans="1:1" x14ac:dyDescent="0.2">
      <c r="A137" t="s">
        <v>381</v>
      </c>
    </row>
    <row r="138" spans="1:1" x14ac:dyDescent="0.2">
      <c r="A138" t="s">
        <v>382</v>
      </c>
    </row>
    <row r="139" spans="1:1" x14ac:dyDescent="0.2">
      <c r="A139" t="s">
        <v>383</v>
      </c>
    </row>
    <row r="140" spans="1:1" x14ac:dyDescent="0.2">
      <c r="A140" t="s">
        <v>384</v>
      </c>
    </row>
    <row r="141" spans="1:1" x14ac:dyDescent="0.2">
      <c r="A141" t="s">
        <v>385</v>
      </c>
    </row>
    <row r="142" spans="1:1" x14ac:dyDescent="0.2">
      <c r="A142" t="s">
        <v>386</v>
      </c>
    </row>
    <row r="143" spans="1:1" x14ac:dyDescent="0.2">
      <c r="A143" t="s">
        <v>387</v>
      </c>
    </row>
    <row r="144" spans="1:1" x14ac:dyDescent="0.2">
      <c r="A144" t="s">
        <v>388</v>
      </c>
    </row>
    <row r="145" spans="1:1" x14ac:dyDescent="0.2">
      <c r="A145" t="s">
        <v>389</v>
      </c>
    </row>
    <row r="146" spans="1:1" x14ac:dyDescent="0.2">
      <c r="A146" t="s">
        <v>390</v>
      </c>
    </row>
    <row r="147" spans="1:1" x14ac:dyDescent="0.2">
      <c r="A147" t="s">
        <v>391</v>
      </c>
    </row>
    <row r="148" spans="1:1" x14ac:dyDescent="0.2">
      <c r="A148" t="s">
        <v>392</v>
      </c>
    </row>
    <row r="149" spans="1:1" x14ac:dyDescent="0.2">
      <c r="A149" t="s">
        <v>393</v>
      </c>
    </row>
    <row r="150" spans="1:1" x14ac:dyDescent="0.2">
      <c r="A150" t="s">
        <v>394</v>
      </c>
    </row>
    <row r="151" spans="1:1" x14ac:dyDescent="0.2">
      <c r="A151" t="s">
        <v>395</v>
      </c>
    </row>
    <row r="152" spans="1:1" x14ac:dyDescent="0.2">
      <c r="A152" t="s">
        <v>396</v>
      </c>
    </row>
    <row r="153" spans="1:1" x14ac:dyDescent="0.2">
      <c r="A153" t="s">
        <v>397</v>
      </c>
    </row>
    <row r="154" spans="1:1" x14ac:dyDescent="0.2">
      <c r="A154" t="s">
        <v>398</v>
      </c>
    </row>
    <row r="155" spans="1:1" x14ac:dyDescent="0.2">
      <c r="A155" t="s">
        <v>399</v>
      </c>
    </row>
    <row r="156" spans="1:1" x14ac:dyDescent="0.2">
      <c r="A156" t="s">
        <v>370</v>
      </c>
    </row>
    <row r="157" spans="1:1" x14ac:dyDescent="0.2">
      <c r="A157" t="s">
        <v>371</v>
      </c>
    </row>
    <row r="158" spans="1:1" x14ac:dyDescent="0.2">
      <c r="A158" t="s">
        <v>372</v>
      </c>
    </row>
    <row r="159" spans="1:1" x14ac:dyDescent="0.2">
      <c r="A159" t="s">
        <v>373</v>
      </c>
    </row>
    <row r="160" spans="1:1" x14ac:dyDescent="0.2">
      <c r="A160" t="s">
        <v>374</v>
      </c>
    </row>
    <row r="161" spans="1:1" x14ac:dyDescent="0.2">
      <c r="A161" t="s">
        <v>375</v>
      </c>
    </row>
    <row r="162" spans="1:1" x14ac:dyDescent="0.2">
      <c r="A162" t="s">
        <v>400</v>
      </c>
    </row>
    <row r="163" spans="1:1" x14ac:dyDescent="0.2">
      <c r="A163" t="s">
        <v>401</v>
      </c>
    </row>
    <row r="164" spans="1:1" x14ac:dyDescent="0.2">
      <c r="A164" t="s">
        <v>402</v>
      </c>
    </row>
    <row r="165" spans="1:1" x14ac:dyDescent="0.2">
      <c r="A165" t="s">
        <v>403</v>
      </c>
    </row>
    <row r="166" spans="1:1" x14ac:dyDescent="0.2">
      <c r="A166" t="s">
        <v>404</v>
      </c>
    </row>
    <row r="167" spans="1:1" x14ac:dyDescent="0.2">
      <c r="A167" t="s">
        <v>405</v>
      </c>
    </row>
    <row r="168" spans="1:1" x14ac:dyDescent="0.2">
      <c r="A168" t="s">
        <v>406</v>
      </c>
    </row>
    <row r="169" spans="1:1" x14ac:dyDescent="0.2">
      <c r="A169" t="s">
        <v>407</v>
      </c>
    </row>
    <row r="170" spans="1:1" x14ac:dyDescent="0.2">
      <c r="A170" t="s">
        <v>408</v>
      </c>
    </row>
    <row r="171" spans="1:1" x14ac:dyDescent="0.2">
      <c r="A171" t="s">
        <v>409</v>
      </c>
    </row>
    <row r="172" spans="1:1" x14ac:dyDescent="0.2">
      <c r="A172" t="s">
        <v>410</v>
      </c>
    </row>
    <row r="173" spans="1:1" x14ac:dyDescent="0.2">
      <c r="A173" t="s">
        <v>411</v>
      </c>
    </row>
    <row r="174" spans="1:1" x14ac:dyDescent="0.2">
      <c r="A174" t="s">
        <v>388</v>
      </c>
    </row>
    <row r="175" spans="1:1" x14ac:dyDescent="0.2">
      <c r="A175" t="s">
        <v>412</v>
      </c>
    </row>
    <row r="176" spans="1:1" x14ac:dyDescent="0.2">
      <c r="A176" t="s">
        <v>413</v>
      </c>
    </row>
    <row r="177" spans="1:1" x14ac:dyDescent="0.2">
      <c r="A177" t="s">
        <v>414</v>
      </c>
    </row>
    <row r="178" spans="1:1" x14ac:dyDescent="0.2">
      <c r="A178" t="s">
        <v>392</v>
      </c>
    </row>
    <row r="179" spans="1:1" x14ac:dyDescent="0.2">
      <c r="A179" t="s">
        <v>393</v>
      </c>
    </row>
    <row r="180" spans="1:1" x14ac:dyDescent="0.2">
      <c r="A180" t="s">
        <v>286</v>
      </c>
    </row>
    <row r="186" spans="1:1" x14ac:dyDescent="0.2">
      <c r="A186" t="s">
        <v>415</v>
      </c>
    </row>
    <row r="187" spans="1:1" x14ac:dyDescent="0.2">
      <c r="A187" t="s">
        <v>416</v>
      </c>
    </row>
    <row r="188" spans="1:1" x14ac:dyDescent="0.2">
      <c r="A188" t="s">
        <v>417</v>
      </c>
    </row>
    <row r="189" spans="1:1" x14ac:dyDescent="0.2">
      <c r="A189" t="s">
        <v>286</v>
      </c>
    </row>
    <row r="191" spans="1:1" x14ac:dyDescent="0.2">
      <c r="A191" t="s">
        <v>418</v>
      </c>
    </row>
    <row r="192" spans="1:1" x14ac:dyDescent="0.2">
      <c r="A192" t="s">
        <v>419</v>
      </c>
    </row>
    <row r="193" spans="1:1" x14ac:dyDescent="0.2">
      <c r="A193" t="s">
        <v>420</v>
      </c>
    </row>
    <row r="194" spans="1:1" x14ac:dyDescent="0.2">
      <c r="A194" t="s">
        <v>421</v>
      </c>
    </row>
    <row r="195" spans="1:1" x14ac:dyDescent="0.2">
      <c r="A195" t="s">
        <v>297</v>
      </c>
    </row>
    <row r="196" spans="1:1" x14ac:dyDescent="0.2">
      <c r="A196" t="s">
        <v>422</v>
      </c>
    </row>
    <row r="197" spans="1:1" x14ac:dyDescent="0.2">
      <c r="A197" t="s">
        <v>423</v>
      </c>
    </row>
    <row r="198" spans="1:1" x14ac:dyDescent="0.2">
      <c r="A198" t="s">
        <v>304</v>
      </c>
    </row>
    <row r="199" spans="1:1" x14ac:dyDescent="0.2">
      <c r="A199" t="s">
        <v>305</v>
      </c>
    </row>
    <row r="200" spans="1:1" x14ac:dyDescent="0.2">
      <c r="A200" t="s">
        <v>306</v>
      </c>
    </row>
    <row r="201" spans="1:1" x14ac:dyDescent="0.2">
      <c r="A201" t="s">
        <v>307</v>
      </c>
    </row>
    <row r="202" spans="1:1" x14ac:dyDescent="0.2">
      <c r="A202" t="s">
        <v>424</v>
      </c>
    </row>
    <row r="203" spans="1:1" x14ac:dyDescent="0.2">
      <c r="A203" t="s">
        <v>425</v>
      </c>
    </row>
    <row r="204" spans="1:1" x14ac:dyDescent="0.2">
      <c r="A204" t="s">
        <v>310</v>
      </c>
    </row>
    <row r="205" spans="1:1" x14ac:dyDescent="0.2">
      <c r="A205" t="s">
        <v>286</v>
      </c>
    </row>
    <row r="207" spans="1:1" x14ac:dyDescent="0.2">
      <c r="A207" t="s">
        <v>311</v>
      </c>
    </row>
    <row r="208" spans="1:1" x14ac:dyDescent="0.2">
      <c r="A208" t="s">
        <v>426</v>
      </c>
    </row>
    <row r="209" spans="1:1" x14ac:dyDescent="0.2">
      <c r="A209" t="s">
        <v>427</v>
      </c>
    </row>
    <row r="210" spans="1:1" x14ac:dyDescent="0.2">
      <c r="A210" t="s">
        <v>428</v>
      </c>
    </row>
    <row r="211" spans="1:1" x14ac:dyDescent="0.2">
      <c r="A211" t="s">
        <v>286</v>
      </c>
    </row>
    <row r="213" spans="1:1" x14ac:dyDescent="0.2">
      <c r="A213" t="s">
        <v>429</v>
      </c>
    </row>
    <row r="214" spans="1:1" x14ac:dyDescent="0.2">
      <c r="A214" t="s">
        <v>286</v>
      </c>
    </row>
    <row r="215" spans="1:1" x14ac:dyDescent="0.2">
      <c r="A215" t="s">
        <v>430</v>
      </c>
    </row>
    <row r="216" spans="1:1" x14ac:dyDescent="0.2">
      <c r="A216" t="s">
        <v>431</v>
      </c>
    </row>
    <row r="217" spans="1:1" x14ac:dyDescent="0.2">
      <c r="A217" t="s">
        <v>286</v>
      </c>
    </row>
    <row r="218" spans="1:1" x14ac:dyDescent="0.2">
      <c r="A218" t="s">
        <v>432</v>
      </c>
    </row>
    <row r="219" spans="1:1" x14ac:dyDescent="0.2">
      <c r="A219" t="s">
        <v>286</v>
      </c>
    </row>
    <row r="221" spans="1:1" x14ac:dyDescent="0.2">
      <c r="A221" t="s">
        <v>319</v>
      </c>
    </row>
    <row r="222" spans="1:1" x14ac:dyDescent="0.2">
      <c r="A222" t="s">
        <v>433</v>
      </c>
    </row>
    <row r="223" spans="1:1" x14ac:dyDescent="0.2">
      <c r="A223" t="s">
        <v>434</v>
      </c>
    </row>
    <row r="224" spans="1:1" x14ac:dyDescent="0.2">
      <c r="A224" t="s">
        <v>435</v>
      </c>
    </row>
    <row r="225" spans="1:1" x14ac:dyDescent="0.2">
      <c r="A225" t="s">
        <v>436</v>
      </c>
    </row>
    <row r="226" spans="1:1" x14ac:dyDescent="0.2">
      <c r="A226" t="s">
        <v>437</v>
      </c>
    </row>
    <row r="227" spans="1:1" x14ac:dyDescent="0.2">
      <c r="A227" t="s">
        <v>438</v>
      </c>
    </row>
    <row r="228" spans="1:1" x14ac:dyDescent="0.2">
      <c r="A228" t="s">
        <v>439</v>
      </c>
    </row>
    <row r="229" spans="1:1" x14ac:dyDescent="0.2">
      <c r="A229" t="s">
        <v>440</v>
      </c>
    </row>
    <row r="230" spans="1:1" x14ac:dyDescent="0.2">
      <c r="A230" t="s">
        <v>441</v>
      </c>
    </row>
    <row r="231" spans="1:1" x14ac:dyDescent="0.2">
      <c r="A231" t="s">
        <v>442</v>
      </c>
    </row>
    <row r="232" spans="1:1" x14ac:dyDescent="0.2">
      <c r="A232" t="s">
        <v>443</v>
      </c>
    </row>
    <row r="233" spans="1:1" x14ac:dyDescent="0.2">
      <c r="A233" t="s">
        <v>444</v>
      </c>
    </row>
    <row r="234" spans="1:1" x14ac:dyDescent="0.2">
      <c r="A234" t="s">
        <v>445</v>
      </c>
    </row>
    <row r="235" spans="1:1" x14ac:dyDescent="0.2">
      <c r="A235" t="s">
        <v>446</v>
      </c>
    </row>
    <row r="236" spans="1:1" x14ac:dyDescent="0.2">
      <c r="A236" t="s">
        <v>447</v>
      </c>
    </row>
    <row r="237" spans="1:1" x14ac:dyDescent="0.2">
      <c r="A237" t="s">
        <v>448</v>
      </c>
    </row>
    <row r="238" spans="1:1" x14ac:dyDescent="0.2">
      <c r="A238" t="s">
        <v>449</v>
      </c>
    </row>
    <row r="239" spans="1:1" x14ac:dyDescent="0.2">
      <c r="A239" t="s">
        <v>450</v>
      </c>
    </row>
    <row r="240" spans="1:1" x14ac:dyDescent="0.2">
      <c r="A240" t="s">
        <v>451</v>
      </c>
    </row>
    <row r="241" spans="1:1" x14ac:dyDescent="0.2">
      <c r="A241" t="s">
        <v>452</v>
      </c>
    </row>
    <row r="242" spans="1:1" x14ac:dyDescent="0.2">
      <c r="A242" t="s">
        <v>453</v>
      </c>
    </row>
    <row r="243" spans="1:1" x14ac:dyDescent="0.2">
      <c r="A243" t="s">
        <v>454</v>
      </c>
    </row>
    <row r="244" spans="1:1" x14ac:dyDescent="0.2">
      <c r="A244" t="s">
        <v>455</v>
      </c>
    </row>
    <row r="245" spans="1:1" x14ac:dyDescent="0.2">
      <c r="A245" t="s">
        <v>456</v>
      </c>
    </row>
    <row r="246" spans="1:1" x14ac:dyDescent="0.2">
      <c r="A246" t="s">
        <v>457</v>
      </c>
    </row>
    <row r="247" spans="1:1" x14ac:dyDescent="0.2">
      <c r="A247" t="s">
        <v>458</v>
      </c>
    </row>
    <row r="248" spans="1:1" x14ac:dyDescent="0.2">
      <c r="A248" t="s">
        <v>459</v>
      </c>
    </row>
    <row r="249" spans="1:1" x14ac:dyDescent="0.2">
      <c r="A249" t="s">
        <v>460</v>
      </c>
    </row>
    <row r="250" spans="1:1" x14ac:dyDescent="0.2">
      <c r="A250" t="s">
        <v>461</v>
      </c>
    </row>
    <row r="251" spans="1:1" x14ac:dyDescent="0.2">
      <c r="A251" t="s">
        <v>462</v>
      </c>
    </row>
    <row r="252" spans="1:1" x14ac:dyDescent="0.2">
      <c r="A252" t="s">
        <v>463</v>
      </c>
    </row>
    <row r="253" spans="1:1" x14ac:dyDescent="0.2">
      <c r="A253" t="s">
        <v>464</v>
      </c>
    </row>
    <row r="254" spans="1:1" x14ac:dyDescent="0.2">
      <c r="A254" t="s">
        <v>465</v>
      </c>
    </row>
    <row r="255" spans="1:1" x14ac:dyDescent="0.2">
      <c r="A255" t="s">
        <v>466</v>
      </c>
    </row>
    <row r="256" spans="1:1" x14ac:dyDescent="0.2">
      <c r="A256" t="s">
        <v>467</v>
      </c>
    </row>
    <row r="257" spans="1:1" x14ac:dyDescent="0.2">
      <c r="A257" t="s">
        <v>468</v>
      </c>
    </row>
    <row r="258" spans="1:1" x14ac:dyDescent="0.2">
      <c r="A258" t="s">
        <v>469</v>
      </c>
    </row>
    <row r="259" spans="1:1" x14ac:dyDescent="0.2">
      <c r="A259" t="s">
        <v>470</v>
      </c>
    </row>
    <row r="260" spans="1:1" x14ac:dyDescent="0.2">
      <c r="A260" t="s">
        <v>471</v>
      </c>
    </row>
    <row r="261" spans="1:1" x14ac:dyDescent="0.2">
      <c r="A261" t="s">
        <v>472</v>
      </c>
    </row>
    <row r="262" spans="1:1" x14ac:dyDescent="0.2">
      <c r="A262" t="s">
        <v>473</v>
      </c>
    </row>
    <row r="263" spans="1:1" x14ac:dyDescent="0.2">
      <c r="A263" t="s">
        <v>474</v>
      </c>
    </row>
    <row r="264" spans="1:1" x14ac:dyDescent="0.2">
      <c r="A264" t="s">
        <v>475</v>
      </c>
    </row>
    <row r="265" spans="1:1" x14ac:dyDescent="0.2">
      <c r="A265" t="s">
        <v>476</v>
      </c>
    </row>
    <row r="266" spans="1:1" x14ac:dyDescent="0.2">
      <c r="A266" t="s">
        <v>477</v>
      </c>
    </row>
    <row r="267" spans="1:1" x14ac:dyDescent="0.2">
      <c r="A267" t="s">
        <v>463</v>
      </c>
    </row>
    <row r="268" spans="1:1" x14ac:dyDescent="0.2">
      <c r="A268" t="s">
        <v>464</v>
      </c>
    </row>
    <row r="269" spans="1:1" x14ac:dyDescent="0.2">
      <c r="A269" t="s">
        <v>465</v>
      </c>
    </row>
    <row r="270" spans="1:1" x14ac:dyDescent="0.2">
      <c r="A270" t="s">
        <v>478</v>
      </c>
    </row>
    <row r="271" spans="1:1" x14ac:dyDescent="0.2">
      <c r="A271" t="s">
        <v>479</v>
      </c>
    </row>
    <row r="272" spans="1:1" x14ac:dyDescent="0.2">
      <c r="A272" t="s">
        <v>480</v>
      </c>
    </row>
    <row r="273" spans="1:1" x14ac:dyDescent="0.2">
      <c r="A273" t="s">
        <v>481</v>
      </c>
    </row>
    <row r="274" spans="1:1" x14ac:dyDescent="0.2">
      <c r="A274" t="s">
        <v>482</v>
      </c>
    </row>
    <row r="275" spans="1:1" x14ac:dyDescent="0.2">
      <c r="A275" t="s">
        <v>483</v>
      </c>
    </row>
    <row r="276" spans="1:1" x14ac:dyDescent="0.2">
      <c r="A276" t="s">
        <v>472</v>
      </c>
    </row>
    <row r="277" spans="1:1" x14ac:dyDescent="0.2">
      <c r="A277" t="s">
        <v>473</v>
      </c>
    </row>
    <row r="278" spans="1:1" x14ac:dyDescent="0.2">
      <c r="A278" t="s">
        <v>474</v>
      </c>
    </row>
    <row r="279" spans="1:1" x14ac:dyDescent="0.2">
      <c r="A279" t="s">
        <v>286</v>
      </c>
    </row>
    <row r="285" spans="1:1" x14ac:dyDescent="0.2">
      <c r="A285" t="s">
        <v>484</v>
      </c>
    </row>
    <row r="286" spans="1:1" x14ac:dyDescent="0.2">
      <c r="A286" t="s">
        <v>485</v>
      </c>
    </row>
    <row r="287" spans="1:1" x14ac:dyDescent="0.2">
      <c r="A287" t="s">
        <v>486</v>
      </c>
    </row>
    <row r="288" spans="1:1" x14ac:dyDescent="0.2">
      <c r="A288" t="s">
        <v>286</v>
      </c>
    </row>
    <row r="290" spans="1:1" x14ac:dyDescent="0.2">
      <c r="A290" t="s">
        <v>487</v>
      </c>
    </row>
    <row r="291" spans="1:1" x14ac:dyDescent="0.2">
      <c r="A291" t="s">
        <v>488</v>
      </c>
    </row>
    <row r="292" spans="1:1" x14ac:dyDescent="0.2">
      <c r="A292" t="s">
        <v>489</v>
      </c>
    </row>
    <row r="293" spans="1:1" x14ac:dyDescent="0.2">
      <c r="A293" t="s">
        <v>490</v>
      </c>
    </row>
    <row r="294" spans="1:1" x14ac:dyDescent="0.2">
      <c r="A294" t="s">
        <v>297</v>
      </c>
    </row>
    <row r="295" spans="1:1" x14ac:dyDescent="0.2">
      <c r="A295" t="s">
        <v>491</v>
      </c>
    </row>
    <row r="296" spans="1:1" x14ac:dyDescent="0.2">
      <c r="A296" t="s">
        <v>557</v>
      </c>
    </row>
    <row r="297" spans="1:1" x14ac:dyDescent="0.2">
      <c r="A297" t="s">
        <v>558</v>
      </c>
    </row>
    <row r="298" spans="1:1" x14ac:dyDescent="0.2">
      <c r="A298" t="s">
        <v>492</v>
      </c>
    </row>
    <row r="299" spans="1:1" x14ac:dyDescent="0.2">
      <c r="A299" t="s">
        <v>559</v>
      </c>
    </row>
    <row r="300" spans="1:1" x14ac:dyDescent="0.2">
      <c r="A300" t="s">
        <v>560</v>
      </c>
    </row>
    <row r="301" spans="1:1" x14ac:dyDescent="0.2">
      <c r="A301" t="s">
        <v>493</v>
      </c>
    </row>
    <row r="302" spans="1:1" x14ac:dyDescent="0.2">
      <c r="A302" t="s">
        <v>310</v>
      </c>
    </row>
    <row r="303" spans="1:1" x14ac:dyDescent="0.2">
      <c r="A303" t="s">
        <v>286</v>
      </c>
    </row>
    <row r="305" spans="1:1" x14ac:dyDescent="0.2">
      <c r="A305" t="s">
        <v>311</v>
      </c>
    </row>
    <row r="306" spans="1:1" x14ac:dyDescent="0.2">
      <c r="A306" t="s">
        <v>494</v>
      </c>
    </row>
    <row r="307" spans="1:1" x14ac:dyDescent="0.2">
      <c r="A307" t="s">
        <v>495</v>
      </c>
    </row>
    <row r="308" spans="1:1" x14ac:dyDescent="0.2">
      <c r="A308" t="s">
        <v>496</v>
      </c>
    </row>
    <row r="309" spans="1:1" x14ac:dyDescent="0.2">
      <c r="A309" t="s">
        <v>286</v>
      </c>
    </row>
    <row r="311" spans="1:1" x14ac:dyDescent="0.2">
      <c r="A311" t="s">
        <v>319</v>
      </c>
    </row>
    <row r="312" spans="1:1" x14ac:dyDescent="0.2">
      <c r="A312" t="s">
        <v>497</v>
      </c>
    </row>
    <row r="313" spans="1:1" x14ac:dyDescent="0.2">
      <c r="A313" t="s">
        <v>498</v>
      </c>
    </row>
    <row r="314" spans="1:1" x14ac:dyDescent="0.2">
      <c r="A314" t="s">
        <v>499</v>
      </c>
    </row>
    <row r="315" spans="1:1" x14ac:dyDescent="0.2">
      <c r="A315" t="s">
        <v>500</v>
      </c>
    </row>
    <row r="316" spans="1:1" x14ac:dyDescent="0.2">
      <c r="A316" t="s">
        <v>501</v>
      </c>
    </row>
    <row r="317" spans="1:1" x14ac:dyDescent="0.2">
      <c r="A317" t="s">
        <v>502</v>
      </c>
    </row>
    <row r="318" spans="1:1" x14ac:dyDescent="0.2">
      <c r="A318" t="s">
        <v>503</v>
      </c>
    </row>
    <row r="319" spans="1:1" x14ac:dyDescent="0.2">
      <c r="A319" t="s">
        <v>504</v>
      </c>
    </row>
    <row r="320" spans="1:1" x14ac:dyDescent="0.2">
      <c r="A320" t="s">
        <v>505</v>
      </c>
    </row>
    <row r="321" spans="1:1" x14ac:dyDescent="0.2">
      <c r="A321" t="s">
        <v>506</v>
      </c>
    </row>
    <row r="322" spans="1:1" x14ac:dyDescent="0.2">
      <c r="A322" t="s">
        <v>507</v>
      </c>
    </row>
    <row r="323" spans="1:1" x14ac:dyDescent="0.2">
      <c r="A323" t="s">
        <v>508</v>
      </c>
    </row>
    <row r="324" spans="1:1" x14ac:dyDescent="0.2">
      <c r="A324" t="s">
        <v>509</v>
      </c>
    </row>
    <row r="325" spans="1:1" x14ac:dyDescent="0.2">
      <c r="A325" t="s">
        <v>510</v>
      </c>
    </row>
    <row r="326" spans="1:1" x14ac:dyDescent="0.2">
      <c r="A326" t="s">
        <v>511</v>
      </c>
    </row>
    <row r="327" spans="1:1" x14ac:dyDescent="0.2">
      <c r="A327" t="s">
        <v>512</v>
      </c>
    </row>
    <row r="328" spans="1:1" x14ac:dyDescent="0.2">
      <c r="A328" t="s">
        <v>513</v>
      </c>
    </row>
    <row r="329" spans="1:1" x14ac:dyDescent="0.2">
      <c r="A329" t="s">
        <v>514</v>
      </c>
    </row>
    <row r="330" spans="1:1" x14ac:dyDescent="0.2">
      <c r="A330" t="s">
        <v>515</v>
      </c>
    </row>
    <row r="331" spans="1:1" ht="409.5" x14ac:dyDescent="0.2">
      <c r="A331" s="2" t="s">
        <v>516</v>
      </c>
    </row>
    <row r="332" spans="1:1" x14ac:dyDescent="0.2">
      <c r="A332" t="s">
        <v>517</v>
      </c>
    </row>
    <row r="333" spans="1:1" ht="409.5" x14ac:dyDescent="0.2">
      <c r="A333" s="2" t="s">
        <v>518</v>
      </c>
    </row>
    <row r="334" spans="1:1" x14ac:dyDescent="0.2">
      <c r="A334" t="s">
        <v>519</v>
      </c>
    </row>
    <row r="335" spans="1:1" x14ac:dyDescent="0.2">
      <c r="A335" t="s">
        <v>520</v>
      </c>
    </row>
    <row r="336" spans="1:1" x14ac:dyDescent="0.2">
      <c r="A336" t="s">
        <v>521</v>
      </c>
    </row>
    <row r="337" spans="1:1" x14ac:dyDescent="0.2">
      <c r="A337" t="s">
        <v>522</v>
      </c>
    </row>
    <row r="338" spans="1:1" x14ac:dyDescent="0.2">
      <c r="A338" t="s">
        <v>523</v>
      </c>
    </row>
    <row r="339" spans="1:1" x14ac:dyDescent="0.2">
      <c r="A339" t="s">
        <v>524</v>
      </c>
    </row>
    <row r="340" spans="1:1" x14ac:dyDescent="0.2">
      <c r="A340" t="s">
        <v>525</v>
      </c>
    </row>
    <row r="341" spans="1:1" x14ac:dyDescent="0.2">
      <c r="A341" t="s">
        <v>526</v>
      </c>
    </row>
    <row r="342" spans="1:1" x14ac:dyDescent="0.2">
      <c r="A342" t="s">
        <v>527</v>
      </c>
    </row>
    <row r="343" spans="1:1" x14ac:dyDescent="0.2">
      <c r="A343" t="s">
        <v>528</v>
      </c>
    </row>
    <row r="344" spans="1:1" x14ac:dyDescent="0.2">
      <c r="A344" t="s">
        <v>529</v>
      </c>
    </row>
    <row r="345" spans="1:1" x14ac:dyDescent="0.2">
      <c r="A345" t="s">
        <v>530</v>
      </c>
    </row>
    <row r="346" spans="1:1" x14ac:dyDescent="0.2">
      <c r="A346" t="s">
        <v>531</v>
      </c>
    </row>
    <row r="347" spans="1:1" x14ac:dyDescent="0.2">
      <c r="A347" t="s">
        <v>532</v>
      </c>
    </row>
    <row r="348" spans="1:1" x14ac:dyDescent="0.2">
      <c r="A348" t="s">
        <v>533</v>
      </c>
    </row>
    <row r="349" spans="1:1" x14ac:dyDescent="0.2">
      <c r="A349" t="s">
        <v>534</v>
      </c>
    </row>
    <row r="350" spans="1:1" x14ac:dyDescent="0.2">
      <c r="A350" t="s">
        <v>535</v>
      </c>
    </row>
    <row r="351" spans="1:1" x14ac:dyDescent="0.2">
      <c r="A351" t="s">
        <v>536</v>
      </c>
    </row>
    <row r="352" spans="1:1" x14ac:dyDescent="0.2">
      <c r="A352" t="s">
        <v>524</v>
      </c>
    </row>
    <row r="353" spans="1:1" x14ac:dyDescent="0.2">
      <c r="A353" t="s">
        <v>525</v>
      </c>
    </row>
    <row r="354" spans="1:1" x14ac:dyDescent="0.2">
      <c r="A354" t="s">
        <v>537</v>
      </c>
    </row>
    <row r="355" spans="1:1" x14ac:dyDescent="0.2">
      <c r="A355" t="s">
        <v>538</v>
      </c>
    </row>
    <row r="356" spans="1:1" x14ac:dyDescent="0.2">
      <c r="A356" t="s">
        <v>539</v>
      </c>
    </row>
    <row r="357" spans="1:1" x14ac:dyDescent="0.2">
      <c r="A357" t="s">
        <v>540</v>
      </c>
    </row>
    <row r="358" spans="1:1" x14ac:dyDescent="0.2">
      <c r="A358" t="s">
        <v>533</v>
      </c>
    </row>
    <row r="359" spans="1:1" x14ac:dyDescent="0.2">
      <c r="A359" t="s">
        <v>534</v>
      </c>
    </row>
    <row r="360" spans="1:1" x14ac:dyDescent="0.2">
      <c r="A360" t="s">
        <v>286</v>
      </c>
    </row>
    <row r="361" spans="1:1" x14ac:dyDescent="0.2">
      <c r="A361" t="s">
        <v>541</v>
      </c>
    </row>
    <row r="362" spans="1:1" x14ac:dyDescent="0.2">
      <c r="A362" t="s">
        <v>542</v>
      </c>
    </row>
    <row r="363" spans="1:1" x14ac:dyDescent="0.2">
      <c r="A363" t="s">
        <v>543</v>
      </c>
    </row>
    <row r="364" spans="1:1" x14ac:dyDescent="0.2">
      <c r="A364" t="s">
        <v>544</v>
      </c>
    </row>
    <row r="365" spans="1:1" x14ac:dyDescent="0.2">
      <c r="A365" t="s">
        <v>545</v>
      </c>
    </row>
    <row r="366" spans="1:1" x14ac:dyDescent="0.2">
      <c r="A366" t="s">
        <v>546</v>
      </c>
    </row>
    <row r="367" spans="1:1" x14ac:dyDescent="0.2">
      <c r="A367" t="s">
        <v>547</v>
      </c>
    </row>
    <row r="368" spans="1:1" x14ac:dyDescent="0.2">
      <c r="A368" t="s">
        <v>548</v>
      </c>
    </row>
    <row r="369" spans="1:1" x14ac:dyDescent="0.2">
      <c r="A369" t="s">
        <v>286</v>
      </c>
    </row>
    <row r="370" spans="1:1" x14ac:dyDescent="0.2">
      <c r="A370" t="s">
        <v>235</v>
      </c>
    </row>
    <row r="371" spans="1:1" x14ac:dyDescent="0.2">
      <c r="A371" t="s">
        <v>541</v>
      </c>
    </row>
    <row r="372" spans="1:1" x14ac:dyDescent="0.2">
      <c r="A372" t="s">
        <v>549</v>
      </c>
    </row>
    <row r="373" spans="1:1" x14ac:dyDescent="0.2">
      <c r="A373" t="s">
        <v>543</v>
      </c>
    </row>
    <row r="374" spans="1:1" x14ac:dyDescent="0.2">
      <c r="A374" t="s">
        <v>550</v>
      </c>
    </row>
    <row r="375" spans="1:1" x14ac:dyDescent="0.2">
      <c r="A375" t="s">
        <v>551</v>
      </c>
    </row>
    <row r="376" spans="1:1" x14ac:dyDescent="0.2">
      <c r="A376" t="s">
        <v>552</v>
      </c>
    </row>
    <row r="377" spans="1:1" x14ac:dyDescent="0.2">
      <c r="A377" t="s">
        <v>547</v>
      </c>
    </row>
    <row r="378" spans="1:1" x14ac:dyDescent="0.2">
      <c r="A378" t="s">
        <v>548</v>
      </c>
    </row>
    <row r="379" spans="1:1" x14ac:dyDescent="0.2">
      <c r="A379" t="s">
        <v>286</v>
      </c>
    </row>
    <row r="380" spans="1:1" x14ac:dyDescent="0.2">
      <c r="A380" t="s">
        <v>235</v>
      </c>
    </row>
    <row r="381" spans="1:1" x14ac:dyDescent="0.2">
      <c r="A381" t="s">
        <v>541</v>
      </c>
    </row>
    <row r="382" spans="1:1" x14ac:dyDescent="0.2">
      <c r="A382" t="s">
        <v>553</v>
      </c>
    </row>
    <row r="383" spans="1:1" x14ac:dyDescent="0.2">
      <c r="A383" t="s">
        <v>543</v>
      </c>
    </row>
    <row r="384" spans="1:1" x14ac:dyDescent="0.2">
      <c r="A384" t="s">
        <v>554</v>
      </c>
    </row>
    <row r="385" spans="1:1" x14ac:dyDescent="0.2">
      <c r="A385" t="s">
        <v>555</v>
      </c>
    </row>
    <row r="386" spans="1:1" x14ac:dyDescent="0.2">
      <c r="A386" t="s">
        <v>556</v>
      </c>
    </row>
    <row r="387" spans="1:1" x14ac:dyDescent="0.2">
      <c r="A387" t="s">
        <v>547</v>
      </c>
    </row>
    <row r="388" spans="1:1" x14ac:dyDescent="0.2">
      <c r="A388" t="s">
        <v>548</v>
      </c>
    </row>
    <row r="389" spans="1:1" x14ac:dyDescent="0.2">
      <c r="A389" t="s">
        <v>286</v>
      </c>
    </row>
    <row r="390" spans="1:1" x14ac:dyDescent="0.2">
      <c r="A390" t="s">
        <v>235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A63B34DF887346BF4A1E88A5155DC6" ma:contentTypeVersion="2" ma:contentTypeDescription="Create a new document." ma:contentTypeScope="" ma:versionID="73c2a383e75b03ef1cc844bfd1b898c9">
  <xsd:schema xmlns:xsd="http://www.w3.org/2001/XMLSchema" xmlns:xs="http://www.w3.org/2001/XMLSchema" xmlns:p="http://schemas.microsoft.com/office/2006/metadata/properties" xmlns:ns2="a5869d55-abcb-4d82-b604-7f683ac57868" targetNamespace="http://schemas.microsoft.com/office/2006/metadata/properties" ma:root="true" ma:fieldsID="8ecad3f071e5cf744284d25510d2038d" ns2:_="">
    <xsd:import namespace="a5869d55-abcb-4d82-b604-7f683ac5786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869d55-abcb-4d82-b604-7f683ac578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8698644-7046-4174-AAB7-92E5CEE479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869d55-abcb-4d82-b604-7f683ac5786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EC156D5-F47E-4A93-ADEE-DDFCB3632E74}">
  <ds:schemaRefs>
    <ds:schemaRef ds:uri="http://schemas.microsoft.com/sharepoint/v3/contenttype/forms"/>
  </ds:schemaRefs>
</ds:datastoreItem>
</file>

<file path=customXml/itemProps3.xml><?xml version="1.0" encoding="utf-8"?>
<ds:datastoreItem xmlns:ds="http://schemas.openxmlformats.org/officeDocument/2006/customXml" ds:itemID="{AB0FADAB-84FD-49BA-A421-2730866CD46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ReadMe</vt:lpstr>
      <vt:lpstr>Change Log</vt:lpstr>
      <vt:lpstr>CustomersDim</vt:lpstr>
      <vt:lpstr>ProductsDim</vt:lpstr>
      <vt:lpstr>Blank Dimension</vt:lpstr>
      <vt:lpstr>Blank Fact</vt:lpstr>
      <vt:lpstr>SalesTransactionsFact</vt:lpstr>
      <vt:lpstr>Generated SQL</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Nicholas Videtti</cp:lastModifiedBy>
  <cp:revision/>
  <dcterms:created xsi:type="dcterms:W3CDTF">2004-06-03T21:49:10Z</dcterms:created>
  <dcterms:modified xsi:type="dcterms:W3CDTF">2023-03-20T00:39:38Z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0x010100FAA63B34DF887346BF4A1E88A5155DC6</vt:lpwstr>
  </property>
</Properties>
</file>